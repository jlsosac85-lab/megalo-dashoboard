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4a19649b5fa823/Documentos/TRABAJO/MEGALO/SELLOUT/"/>
    </mc:Choice>
  </mc:AlternateContent>
  <xr:revisionPtr revIDLastSave="202" documentId="13_ncr:1_{434455A2-1704-4593-BD21-49FC3CB3D21D}" xr6:coauthVersionLast="47" xr6:coauthVersionMax="47" xr10:uidLastSave="{3237D9AC-E297-4EBB-BCAF-F7031F123AB3}"/>
  <bookViews>
    <workbookView xWindow="-120" yWindow="-120" windowWidth="38640" windowHeight="21120" xr2:uid="{5D44D5E2-3973-43DE-99E3-A9834A1BD85C}"/>
  </bookViews>
  <sheets>
    <sheet name="MARCAPROPIA" sheetId="1" r:id="rId1"/>
  </sheets>
  <definedNames>
    <definedName name="_xlnm._FilterDatabase" localSheetId="0" hidden="1">MARCAPROPIA!$A$2:$P$2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" i="1" l="1"/>
  <c r="P22" i="1"/>
  <c r="P25" i="1"/>
  <c r="P23" i="1"/>
  <c r="P26" i="1"/>
  <c r="P21" i="1"/>
  <c r="P18" i="1"/>
  <c r="P20" i="1"/>
  <c r="P15" i="1"/>
  <c r="P57" i="1"/>
  <c r="P44" i="1"/>
  <c r="P45" i="1"/>
  <c r="P46" i="1"/>
  <c r="P47" i="1"/>
  <c r="P48" i="1"/>
  <c r="P52" i="1"/>
  <c r="P50" i="1"/>
  <c r="P53" i="1"/>
  <c r="P51" i="1"/>
  <c r="P59" i="1"/>
  <c r="P58" i="1"/>
  <c r="P54" i="1"/>
  <c r="P55" i="1"/>
  <c r="P56" i="1"/>
  <c r="O34" i="1"/>
  <c r="N34" i="1"/>
  <c r="M34" i="1"/>
  <c r="L34" i="1"/>
  <c r="K34" i="1"/>
  <c r="J34" i="1"/>
  <c r="I34" i="1"/>
  <c r="H34" i="1"/>
  <c r="G34" i="1"/>
  <c r="F34" i="1"/>
  <c r="E34" i="1"/>
  <c r="D34" i="1"/>
  <c r="P5" i="1"/>
  <c r="P7" i="1"/>
  <c r="P19" i="1"/>
  <c r="P16" i="1"/>
  <c r="P8" i="1"/>
  <c r="P11" i="1"/>
  <c r="P10" i="1"/>
  <c r="P9" i="1"/>
  <c r="P13" i="1"/>
  <c r="P12" i="1"/>
  <c r="P14" i="1"/>
  <c r="P6" i="1"/>
  <c r="P4" i="1"/>
  <c r="P3" i="1"/>
  <c r="P17" i="1"/>
  <c r="P43" i="1"/>
  <c r="P49" i="1"/>
  <c r="O60" i="1"/>
  <c r="N60" i="1"/>
  <c r="M60" i="1"/>
  <c r="L60" i="1"/>
  <c r="K60" i="1"/>
  <c r="J60" i="1"/>
  <c r="I60" i="1"/>
  <c r="H60" i="1"/>
  <c r="G60" i="1"/>
  <c r="F60" i="1"/>
  <c r="E60" i="1"/>
  <c r="D60" i="1"/>
  <c r="O85" i="1"/>
  <c r="P84" i="1"/>
  <c r="P70" i="1"/>
  <c r="P71" i="1"/>
  <c r="P72" i="1"/>
  <c r="P74" i="1"/>
  <c r="P75" i="1"/>
  <c r="P76" i="1"/>
  <c r="P77" i="1"/>
  <c r="P78" i="1"/>
  <c r="P79" i="1"/>
  <c r="P80" i="1"/>
  <c r="P81" i="1"/>
  <c r="P82" i="1"/>
  <c r="P83" i="1"/>
  <c r="P69" i="1"/>
  <c r="P73" i="1"/>
  <c r="N85" i="1"/>
  <c r="M85" i="1"/>
  <c r="L85" i="1"/>
  <c r="K85" i="1"/>
  <c r="J85" i="1"/>
  <c r="I85" i="1"/>
  <c r="H85" i="1"/>
  <c r="G85" i="1"/>
  <c r="F85" i="1"/>
  <c r="E85" i="1"/>
  <c r="D85" i="1"/>
  <c r="P34" i="1" l="1"/>
  <c r="P60" i="1"/>
  <c r="P85" i="1"/>
</calcChain>
</file>

<file path=xl/sharedStrings.xml><?xml version="1.0" encoding="utf-8"?>
<sst xmlns="http://schemas.openxmlformats.org/spreadsheetml/2006/main" count="165" uniqueCount="71">
  <si>
    <t>MEGALO
SKU</t>
  </si>
  <si>
    <t>PRODUCTO</t>
  </si>
  <si>
    <t>TOTAL</t>
  </si>
  <si>
    <t>SEV001</t>
  </si>
  <si>
    <t>MARCA PROPIA ANDROID</t>
  </si>
  <si>
    <t>SEV002</t>
  </si>
  <si>
    <t>MARCA PROPIA IPHONE</t>
  </si>
  <si>
    <t>SEV003</t>
  </si>
  <si>
    <t>MARCA PROPIA TIPO C</t>
  </si>
  <si>
    <t>SEV004</t>
  </si>
  <si>
    <t>MARCA PROPIA CARRO</t>
  </si>
  <si>
    <t>SEV005</t>
  </si>
  <si>
    <t>MARCA PROPIA AUDIFONOS</t>
  </si>
  <si>
    <t>SEV006</t>
  </si>
  <si>
    <t>CABLE ECO - FRIENDLY IPHONE</t>
  </si>
  <si>
    <t>SEV007</t>
  </si>
  <si>
    <t>CABLE ECO - FRIENDLY TIPO C</t>
  </si>
  <si>
    <t>SEV008</t>
  </si>
  <si>
    <t>CABLE 7EVEN IPHONE</t>
  </si>
  <si>
    <t>SEV009</t>
  </si>
  <si>
    <t>CABLE 7EVEN TIPO C</t>
  </si>
  <si>
    <t>SEV010</t>
  </si>
  <si>
    <t>CABLE 7EVEN IPHONE REFORZADO</t>
  </si>
  <si>
    <t>SEV011</t>
  </si>
  <si>
    <t>CABLE 7EVEN TIPO C REFORZADO</t>
  </si>
  <si>
    <t>SEV012</t>
  </si>
  <si>
    <t>AUDIFONOS INALAMBRICOS BLUETOOTH 24/7 LIFE</t>
  </si>
  <si>
    <t>SV14</t>
  </si>
  <si>
    <t>1 PILA 9V 7502276304705 ALC-6LR61-1.5V 24/7 LIFE</t>
  </si>
  <si>
    <t>SV15</t>
  </si>
  <si>
    <t>4 PILAS AA 7502276304675 ALC-LR6-1.5V 24/7 LIFE</t>
  </si>
  <si>
    <t>SV16</t>
  </si>
  <si>
    <t>4 PILAS AAA 7502276304682 ALC-LR03-1.5V 24/7 LIFE</t>
  </si>
  <si>
    <t>SV17</t>
  </si>
  <si>
    <t>2 PILAS D 7502276304699 ALC-LR20-1.5V 24/7 LIFE</t>
  </si>
  <si>
    <t>7EVEN
SKU</t>
  </si>
  <si>
    <t>VENTAS POR UNIDADES MARCA PROPIA 2025</t>
  </si>
  <si>
    <t>VENTAS POR UNIDADES MARCA PROPIA 2024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</si>
  <si>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</si>
  <si>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</si>
  <si>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</si>
  <si>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</si>
  <si>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</si>
  <si>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</si>
  <si>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</si>
  <si>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</si>
  <si>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</si>
  <si>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</si>
  <si>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</si>
  <si>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</si>
  <si>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VENTAS POR UNIDADES MARCA PROPIA 2026</t>
  </si>
  <si>
    <t>SEV013</t>
  </si>
  <si>
    <t>SEV014</t>
  </si>
  <si>
    <t>SEV015</t>
  </si>
  <si>
    <t>SEV016</t>
  </si>
  <si>
    <t>SEV017</t>
  </si>
  <si>
    <t>BOCINA BT</t>
  </si>
  <si>
    <t xml:space="preserve"> CABLE PARA CARGA TIPO C TIPO C </t>
  </si>
  <si>
    <t xml:space="preserve">SEV022 </t>
  </si>
  <si>
    <t>SEV028</t>
  </si>
  <si>
    <t>SEV029</t>
  </si>
  <si>
    <t>SEV031</t>
  </si>
  <si>
    <t>SEV032</t>
  </si>
  <si>
    <t>SEV033</t>
  </si>
  <si>
    <t>SEV034</t>
  </si>
  <si>
    <t>7-eleven AUDIFONOS CABLE MANOS LIBRES 7502276306068</t>
  </si>
  <si>
    <t>7-eleven CARGADOR CARRO 7502276306167</t>
  </si>
  <si>
    <t>7-eleven CARGADOR PARA PARED 7502276306150</t>
  </si>
  <si>
    <t>7-eleven AUDIFONOS CABLE 7502276306129</t>
  </si>
  <si>
    <t>7-eleven CABLE AUXILIAR 7502276306136</t>
  </si>
  <si>
    <t>7-eleven CABLE LED PARA IPHONE 2A 7502276306075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</si>
</sst>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Border="1"/>
    <xf numFmtId="3" fontId="0" fillId="0" borderId="0" xfId="0" applyNumberFormat="1"/>
    <xf numFmtId="3" fontId="0" fillId="0" borderId="3" xfId="0" applyNumberFormat="1" applyBorder="1"/>
    <xf numFmtId="0" fontId="0" fillId="0" borderId="4" xfId="0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7" fontId="2" fillId="2" borderId="1" xfId="0" applyNumberFormat="1" applyFont="1" applyFill="1" applyBorder="1" applyAlignment="1">
      <alignment horizontal="center" vertical="center"/>
    </xf>
    <xf numFmtId="0" fontId="0" fillId="0" borderId="9" xfId="0" applyBorder="1"/>
    <xf numFmtId="3" fontId="0" fillId="0" borderId="10" xfId="0" applyNumberFormat="1" applyBorder="1"/>
    <xf numFmtId="3" fontId="0" fillId="0" borderId="11" xfId="0" applyNumberFormat="1" applyBorder="1"/>
    <xf numFmtId="3" fontId="0" fillId="0" borderId="8" xfId="0" applyNumberFormat="1" applyBorder="1"/>
    <xf numFmtId="3" fontId="1" fillId="3" borderId="8" xfId="0" applyNumberFormat="1" applyFont="1" applyFill="1" applyBorder="1"/>
    <xf numFmtId="0" fontId="0" fillId="0" borderId="12" xfId="0" applyBorder="1" applyAlignment="1">
      <alignment horizontal="center"/>
    </xf>
    <xf numFmtId="0" fontId="0" fillId="0" borderId="12" xfId="0" applyBorder="1"/>
    <xf numFmtId="3" fontId="0" fillId="0" borderId="12" xfId="0" applyNumberFormat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3" fontId="0" fillId="0" borderId="5" xfId="0" applyNumberFormat="1" applyBorder="1"/>
    <xf numFmtId="17" fontId="2" fillId="2" borderId="9" xfId="0" applyNumberFormat="1" applyFont="1" applyFill="1" applyBorder="1" applyAlignment="1">
      <alignment horizontal="center" vertical="center"/>
    </xf>
    <xf numFmtId="17" fontId="2" fillId="2" borderId="13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17" fontId="2" fillId="2" borderId="12" xfId="0" applyNumberFormat="1" applyFont="1" applyFill="1" applyBorder="1" applyAlignment="1">
      <alignment horizontal="center" vertical="center"/>
    </xf>
    <xf numFmtId="17" fontId="2" fillId="2" borderId="10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65843-F6F2-4FB4-B697-4875D8B61D4A}">
  <dimension ref="A1:P85"/>
  <sheetViews>
    <sheetView tabSelected="1" zoomScale="90" zoomScaleNormal="90" workbookViewId="0">
      <selection activeCell="AE8" sqref="AE8"/>
    </sheetView>
  </sheetViews>
  <sheetFormatPr baseColWidth="10" defaultRowHeight="15" x14ac:dyDescent="0.25"/>
  <cols>
    <col min="1" max="1" width="9.85546875" customWidth="1"/>
    <col min="2" max="2" width="14.28515625" customWidth="1"/>
    <col min="3" max="3" width="53.85546875" bestFit="1" customWidth="1"/>
    <col min="4" max="6" width="8.42578125" style="2" customWidth="1"/>
    <col min="7" max="16" width="8.42578125" customWidth="1"/>
    <col min="18" max="18" width="2.7109375" customWidth="1"/>
  </cols>
  <sheetData>
    <row r="1" spans="1:16" ht="15.75" thickBot="1" x14ac:dyDescent="0.3">
      <c r="A1" s="27" t="s">
        <v>50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ht="30" x14ac:dyDescent="0.25">
      <c r="A2" s="23" t="s">
        <v>0</v>
      </c>
      <c r="B2" s="24" t="s">
        <v>35</v>
      </c>
      <c r="C2" s="22" t="s">
        <v>1</v>
      </c>
      <c r="D2" s="25" t="s">
        <v>38</v>
      </c>
      <c r="E2" s="25" t="s">
        <v>39</v>
      </c>
      <c r="F2" s="25" t="s">
        <v>40</v>
      </c>
      <c r="G2" s="25" t="s">
        <v>41</v>
      </c>
      <c r="H2" s="25" t="s">
        <v>42</v>
      </c>
      <c r="I2" s="25" t="s">
        <v>43</v>
      </c>
      <c r="J2" s="25" t="s">
        <v>44</v>
      </c>
      <c r="K2" s="25" t="s">
        <v>45</v>
      </c>
      <c r="L2" s="25" t="s">
        <v>46</v>
      </c>
      <c r="M2" s="25" t="s">
        <v>47</v>
      </c>
      <c r="N2" s="25" t="s">
        <v>48</v>
      </c>
      <c r="O2" s="25" t="s">
        <v>49</v>
      </c>
      <c r="P2" s="26" t="s">
        <v>2</v>
      </c>
    </row>
    <row r="3" spans="1:16" x14ac:dyDescent="0.25">
      <c r="A3" s="1" t="s">
        <v>5</v>
      </c>
      <c r="B3" s="16">
        <v>22777</v>
      </c>
      <c r="C3" t="s">
        <v>6</v>
      </c>
      <c r="D3" s="2">
        <v>3889</v>
      </c>
      <c r="E3" s="2">
        <v>4320</v>
      </c>
      <c r="F3" s="2">
        <v>4954</v>
      </c>
      <c r="G3" s="2">
        <v>5078</v>
      </c>
      <c r="H3" s="2">
        <v>4158</v>
      </c>
      <c r="I3" s="2">
        <v>5317</v>
      </c>
      <c r="J3" s="2">
        <v>4724</v>
      </c>
      <c r="K3" s="2">
        <v>5205</v>
      </c>
      <c r="L3" s="2"/>
      <c r="M3" s="2"/>
      <c r="N3" s="2"/>
      <c r="O3" s="2"/>
      <c r="P3" s="3">
        <f>SUM(D3:O3)</f>
        <v>37645</v>
      </c>
    </row>
    <row r="4" spans="1:16" x14ac:dyDescent="0.25">
      <c r="A4" s="1" t="s">
        <v>7</v>
      </c>
      <c r="B4" s="16">
        <v>22778</v>
      </c>
      <c r="C4" t="s">
        <v>8</v>
      </c>
      <c r="D4" s="2">
        <v>3392</v>
      </c>
      <c r="E4" s="2">
        <v>3861</v>
      </c>
      <c r="F4" s="2">
        <v>5036</v>
      </c>
      <c r="G4" s="2">
        <v>5026</v>
      </c>
      <c r="H4" s="2">
        <v>4452</v>
      </c>
      <c r="I4" s="2">
        <v>5122</v>
      </c>
      <c r="J4" s="2">
        <v>4691</v>
      </c>
      <c r="K4" s="2">
        <v>5060</v>
      </c>
      <c r="L4" s="2"/>
      <c r="M4" s="2"/>
      <c r="N4" s="2"/>
      <c r="O4" s="2"/>
      <c r="P4" s="3">
        <f>SUM(D4:O4)</f>
        <v>36640</v>
      </c>
    </row>
    <row r="5" spans="1:16" x14ac:dyDescent="0.25">
      <c r="A5" s="1" t="s">
        <v>53</v>
      </c>
      <c r="B5" s="16"/>
      <c r="C5" t="s">
        <v>32</v>
      </c>
      <c r="D5" s="2">
        <v>2666</v>
      </c>
      <c r="E5" s="2">
        <v>2709</v>
      </c>
      <c r="F5" s="2">
        <v>2778</v>
      </c>
      <c r="G5" s="2">
        <v>2338</v>
      </c>
      <c r="H5" s="2">
        <v>1892</v>
      </c>
      <c r="I5" s="2">
        <v>2367</v>
      </c>
      <c r="J5" s="2">
        <v>2514</v>
      </c>
      <c r="K5" s="2">
        <v>2528</v>
      </c>
      <c r="L5" s="2"/>
      <c r="M5" s="2"/>
      <c r="N5" s="2"/>
      <c r="O5" s="2"/>
      <c r="P5" s="3">
        <f>SUM(D5:O5)</f>
        <v>19792</v>
      </c>
    </row>
    <row r="6" spans="1:16" x14ac:dyDescent="0.25">
      <c r="A6" s="1" t="s">
        <v>9</v>
      </c>
      <c r="B6" s="16">
        <v>22779</v>
      </c>
      <c r="C6" t="s">
        <v>10</v>
      </c>
      <c r="D6" s="2">
        <v>2032</v>
      </c>
      <c r="E6" s="2">
        <v>2134</v>
      </c>
      <c r="F6" s="2">
        <v>2682</v>
      </c>
      <c r="G6" s="2">
        <v>2547</v>
      </c>
      <c r="H6" s="2">
        <v>2341</v>
      </c>
      <c r="I6" s="2">
        <v>2450</v>
      </c>
      <c r="J6" s="2">
        <v>2807</v>
      </c>
      <c r="K6" s="2">
        <v>2638</v>
      </c>
      <c r="L6" s="2"/>
      <c r="M6" s="2"/>
      <c r="N6" s="2"/>
      <c r="O6" s="2"/>
      <c r="P6" s="3">
        <f>SUM(D6:O6)</f>
        <v>19631</v>
      </c>
    </row>
    <row r="7" spans="1:16" x14ac:dyDescent="0.25">
      <c r="A7" s="1" t="s">
        <v>52</v>
      </c>
      <c r="B7" s="16"/>
      <c r="C7" t="s">
        <v>30</v>
      </c>
      <c r="D7" s="2">
        <v>3501</v>
      </c>
      <c r="E7" s="2">
        <v>2639</v>
      </c>
      <c r="F7" s="2">
        <v>2681</v>
      </c>
      <c r="G7" s="2">
        <v>2387</v>
      </c>
      <c r="H7" s="2">
        <v>1957</v>
      </c>
      <c r="I7" s="2">
        <v>2201</v>
      </c>
      <c r="J7" s="2">
        <v>2093</v>
      </c>
      <c r="K7" s="2">
        <v>2101</v>
      </c>
      <c r="L7" s="2"/>
      <c r="M7" s="2"/>
      <c r="N7" s="2"/>
      <c r="O7" s="2"/>
      <c r="P7" s="3">
        <f>SUM(D7:O7)</f>
        <v>19560</v>
      </c>
    </row>
    <row r="8" spans="1:16" x14ac:dyDescent="0.25">
      <c r="A8" s="1" t="s">
        <v>23</v>
      </c>
      <c r="B8" s="16"/>
      <c r="C8" t="s">
        <v>24</v>
      </c>
      <c r="D8" s="2">
        <v>1667</v>
      </c>
      <c r="E8" s="2">
        <v>1812</v>
      </c>
      <c r="F8" s="2">
        <v>2694</v>
      </c>
      <c r="G8" s="2">
        <v>2397</v>
      </c>
      <c r="H8" s="2">
        <v>1911</v>
      </c>
      <c r="I8" s="2">
        <v>2613</v>
      </c>
      <c r="J8" s="2">
        <v>2024</v>
      </c>
      <c r="K8" s="2">
        <v>1981</v>
      </c>
      <c r="L8" s="2"/>
      <c r="M8" s="2"/>
      <c r="N8" s="2"/>
      <c r="O8" s="2"/>
      <c r="P8" s="3">
        <f>SUM(D8:O8)</f>
        <v>17099</v>
      </c>
    </row>
    <row r="9" spans="1:16" x14ac:dyDescent="0.25">
      <c r="A9" s="1" t="s">
        <v>17</v>
      </c>
      <c r="B9" s="16"/>
      <c r="C9" t="s">
        <v>18</v>
      </c>
      <c r="D9" s="2">
        <v>1885</v>
      </c>
      <c r="E9" s="2">
        <v>1812</v>
      </c>
      <c r="F9" s="2">
        <v>2336</v>
      </c>
      <c r="G9" s="2">
        <v>2340</v>
      </c>
      <c r="H9" s="2">
        <v>1772</v>
      </c>
      <c r="I9" s="2">
        <v>2460</v>
      </c>
      <c r="J9" s="2">
        <v>2108</v>
      </c>
      <c r="K9" s="2">
        <v>2111</v>
      </c>
      <c r="L9" s="2"/>
      <c r="M9" s="2"/>
      <c r="N9" s="2"/>
      <c r="O9" s="2"/>
      <c r="P9" s="3">
        <f>SUM(D9:O9)</f>
        <v>16824</v>
      </c>
    </row>
    <row r="10" spans="1:16" x14ac:dyDescent="0.25">
      <c r="A10" s="1" t="s">
        <v>19</v>
      </c>
      <c r="B10" s="16"/>
      <c r="C10" t="s">
        <v>20</v>
      </c>
      <c r="D10" s="2">
        <v>1990</v>
      </c>
      <c r="E10" s="2">
        <v>1880</v>
      </c>
      <c r="F10" s="2">
        <v>2451</v>
      </c>
      <c r="G10" s="2">
        <v>2454</v>
      </c>
      <c r="H10" s="2">
        <v>1885</v>
      </c>
      <c r="I10" s="2">
        <v>2425</v>
      </c>
      <c r="J10" s="2">
        <v>1937</v>
      </c>
      <c r="K10" s="2">
        <v>1744</v>
      </c>
      <c r="L10" s="2"/>
      <c r="M10" s="2"/>
      <c r="N10" s="2"/>
      <c r="O10" s="2"/>
      <c r="P10" s="3">
        <f>SUM(D10:O10)</f>
        <v>16766</v>
      </c>
    </row>
    <row r="11" spans="1:16" x14ac:dyDescent="0.25">
      <c r="A11" s="1" t="s">
        <v>21</v>
      </c>
      <c r="B11" s="16"/>
      <c r="C11" t="s">
        <v>22</v>
      </c>
      <c r="D11" s="2">
        <v>1687</v>
      </c>
      <c r="E11" s="2">
        <v>1721</v>
      </c>
      <c r="F11" s="2">
        <v>2439</v>
      </c>
      <c r="G11" s="2">
        <v>2281</v>
      </c>
      <c r="H11" s="2">
        <v>1766</v>
      </c>
      <c r="I11" s="2">
        <v>2513</v>
      </c>
      <c r="J11" s="2">
        <v>2004</v>
      </c>
      <c r="K11" s="2">
        <v>1941</v>
      </c>
      <c r="L11" s="2"/>
      <c r="M11" s="2"/>
      <c r="N11" s="2"/>
      <c r="O11" s="2"/>
      <c r="P11" s="3">
        <f>SUM(D11:O11)</f>
        <v>16352</v>
      </c>
    </row>
    <row r="12" spans="1:16" x14ac:dyDescent="0.25">
      <c r="A12" s="1" t="s">
        <v>13</v>
      </c>
      <c r="B12" s="16"/>
      <c r="C12" t="s">
        <v>14</v>
      </c>
      <c r="D12" s="2">
        <v>1678</v>
      </c>
      <c r="E12" s="2">
        <v>1557</v>
      </c>
      <c r="F12" s="2">
        <v>1981</v>
      </c>
      <c r="G12" s="2">
        <v>1709</v>
      </c>
      <c r="H12" s="2">
        <v>1355</v>
      </c>
      <c r="I12" s="2">
        <v>1769</v>
      </c>
      <c r="J12" s="2">
        <v>1412</v>
      </c>
      <c r="K12" s="2">
        <v>1752</v>
      </c>
      <c r="L12" s="2"/>
      <c r="M12" s="2"/>
      <c r="N12" s="2"/>
      <c r="O12" s="2"/>
      <c r="P12" s="3">
        <f>SUM(D12:O12)</f>
        <v>13213</v>
      </c>
    </row>
    <row r="13" spans="1:16" x14ac:dyDescent="0.25">
      <c r="A13" s="1" t="s">
        <v>15</v>
      </c>
      <c r="B13" s="16"/>
      <c r="C13" t="s">
        <v>16</v>
      </c>
      <c r="D13" s="2">
        <v>1460</v>
      </c>
      <c r="E13" s="2">
        <v>1494</v>
      </c>
      <c r="F13" s="2">
        <v>1942</v>
      </c>
      <c r="G13" s="2">
        <v>1812</v>
      </c>
      <c r="H13" s="2">
        <v>1506</v>
      </c>
      <c r="I13" s="2">
        <v>1720</v>
      </c>
      <c r="J13" s="2">
        <v>1406</v>
      </c>
      <c r="K13" s="2">
        <v>1769</v>
      </c>
      <c r="L13" s="2"/>
      <c r="M13" s="2"/>
      <c r="N13" s="2"/>
      <c r="O13" s="2"/>
      <c r="P13" s="3">
        <f>SUM(D13:O13)</f>
        <v>13109</v>
      </c>
    </row>
    <row r="14" spans="1:16" x14ac:dyDescent="0.25">
      <c r="A14" s="1" t="s">
        <v>11</v>
      </c>
      <c r="B14" s="16">
        <v>22780</v>
      </c>
      <c r="C14" t="s">
        <v>12</v>
      </c>
      <c r="D14" s="2">
        <v>1430</v>
      </c>
      <c r="E14" s="2">
        <v>1409</v>
      </c>
      <c r="F14" s="2">
        <v>1886</v>
      </c>
      <c r="G14" s="2">
        <v>1674</v>
      </c>
      <c r="H14" s="2">
        <v>1234</v>
      </c>
      <c r="I14" s="2">
        <v>1834</v>
      </c>
      <c r="J14" s="2">
        <v>1387</v>
      </c>
      <c r="K14" s="2">
        <v>1435</v>
      </c>
      <c r="L14" s="2"/>
      <c r="M14" s="2"/>
      <c r="N14" s="2"/>
      <c r="O14" s="2"/>
      <c r="P14" s="3">
        <f>SUM(D14:O14)</f>
        <v>12289</v>
      </c>
    </row>
    <row r="15" spans="1:16" x14ac:dyDescent="0.25">
      <c r="A15" s="1" t="s">
        <v>54</v>
      </c>
      <c r="B15" s="16"/>
      <c r="C15" t="s">
        <v>34</v>
      </c>
      <c r="D15" s="2">
        <v>1611</v>
      </c>
      <c r="E15" s="2">
        <v>1229</v>
      </c>
      <c r="F15" s="2">
        <v>1311</v>
      </c>
      <c r="G15" s="2">
        <v>1198</v>
      </c>
      <c r="H15" s="2">
        <v>831</v>
      </c>
      <c r="I15" s="2">
        <v>742</v>
      </c>
      <c r="J15" s="2">
        <v>638</v>
      </c>
      <c r="K15" s="2">
        <v>567</v>
      </c>
      <c r="L15" s="2"/>
      <c r="M15" s="2"/>
      <c r="N15" s="2"/>
      <c r="O15" s="2"/>
      <c r="P15" s="3">
        <f>SUM(D15:O15)</f>
        <v>8127</v>
      </c>
    </row>
    <row r="16" spans="1:16" x14ac:dyDescent="0.25">
      <c r="A16" s="1" t="s">
        <v>25</v>
      </c>
      <c r="B16" s="16"/>
      <c r="C16" t="s">
        <v>26</v>
      </c>
      <c r="D16" s="2">
        <v>1344</v>
      </c>
      <c r="E16" s="2">
        <v>1289</v>
      </c>
      <c r="F16" s="2">
        <v>852</v>
      </c>
      <c r="G16" s="2">
        <v>1112</v>
      </c>
      <c r="H16" s="2">
        <v>650</v>
      </c>
      <c r="I16" s="2">
        <v>844</v>
      </c>
      <c r="J16" s="2">
        <v>876</v>
      </c>
      <c r="K16" s="2">
        <v>914</v>
      </c>
      <c r="L16" s="2"/>
      <c r="M16" s="2"/>
      <c r="N16" s="2"/>
      <c r="O16" s="2"/>
      <c r="P16" s="3">
        <f>SUM(D16:O16)</f>
        <v>7881</v>
      </c>
    </row>
    <row r="17" spans="1:16" x14ac:dyDescent="0.25">
      <c r="A17" s="1" t="s">
        <v>3</v>
      </c>
      <c r="B17" s="16">
        <v>22776</v>
      </c>
      <c r="C17" t="s">
        <v>4</v>
      </c>
      <c r="D17" s="2">
        <v>926</v>
      </c>
      <c r="E17" s="2">
        <v>963</v>
      </c>
      <c r="F17" s="2">
        <v>1394</v>
      </c>
      <c r="G17" s="2">
        <v>1155</v>
      </c>
      <c r="H17" s="2">
        <v>682</v>
      </c>
      <c r="I17" s="2">
        <v>1133</v>
      </c>
      <c r="J17" s="2">
        <v>842</v>
      </c>
      <c r="K17" s="2">
        <v>776</v>
      </c>
      <c r="L17" s="2"/>
      <c r="M17" s="2"/>
      <c r="N17" s="2"/>
      <c r="O17" s="2"/>
      <c r="P17" s="3">
        <f>SUM(D17:O17)</f>
        <v>7871</v>
      </c>
    </row>
    <row r="18" spans="1:16" x14ac:dyDescent="0.25">
      <c r="A18" s="1" t="s">
        <v>58</v>
      </c>
      <c r="B18" s="16"/>
      <c r="C18" t="s">
        <v>57</v>
      </c>
      <c r="G18" s="2"/>
      <c r="H18" s="2"/>
      <c r="I18" s="2">
        <v>1897</v>
      </c>
      <c r="J18" s="2">
        <v>2604</v>
      </c>
      <c r="K18" s="2">
        <v>2187</v>
      </c>
      <c r="L18" s="2"/>
      <c r="M18" s="2"/>
      <c r="N18" s="2"/>
      <c r="O18" s="2"/>
      <c r="P18" s="3">
        <f>SUM(D18:O18)</f>
        <v>6688</v>
      </c>
    </row>
    <row r="19" spans="1:16" x14ac:dyDescent="0.25">
      <c r="A19" s="1" t="s">
        <v>51</v>
      </c>
      <c r="B19" s="16"/>
      <c r="C19" t="s">
        <v>28</v>
      </c>
      <c r="D19" s="2">
        <v>786</v>
      </c>
      <c r="E19" s="2">
        <v>600</v>
      </c>
      <c r="F19" s="2">
        <v>927</v>
      </c>
      <c r="G19" s="2">
        <v>628</v>
      </c>
      <c r="H19" s="2">
        <v>471</v>
      </c>
      <c r="I19" s="2">
        <v>613</v>
      </c>
      <c r="J19" s="2">
        <v>512</v>
      </c>
      <c r="K19" s="2">
        <v>499</v>
      </c>
      <c r="L19" s="2"/>
      <c r="M19" s="2"/>
      <c r="N19" s="2"/>
      <c r="O19" s="2"/>
      <c r="P19" s="3">
        <f>SUM(D19:O19)</f>
        <v>5036</v>
      </c>
    </row>
    <row r="20" spans="1:16" x14ac:dyDescent="0.25">
      <c r="A20" s="1" t="s">
        <v>55</v>
      </c>
      <c r="B20" s="16"/>
      <c r="C20" t="s">
        <v>56</v>
      </c>
      <c r="D20" s="2">
        <v>1107</v>
      </c>
      <c r="E20" s="2">
        <v>947</v>
      </c>
      <c r="F20" s="2">
        <v>406</v>
      </c>
      <c r="G20" s="2">
        <v>341</v>
      </c>
      <c r="H20" s="2">
        <v>125</v>
      </c>
      <c r="I20" s="2">
        <v>179</v>
      </c>
      <c r="J20" s="2">
        <v>121</v>
      </c>
      <c r="K20" s="2">
        <v>115</v>
      </c>
      <c r="L20" s="2"/>
      <c r="M20" s="2"/>
      <c r="N20" s="2"/>
      <c r="O20" s="2"/>
      <c r="P20" s="3">
        <f>SUM(D20:O20)</f>
        <v>3341</v>
      </c>
    </row>
    <row r="21" spans="1:16" x14ac:dyDescent="0.25">
      <c r="A21" s="1" t="s">
        <v>64</v>
      </c>
      <c r="B21" s="16"/>
      <c r="C21" t="s">
        <v>67</v>
      </c>
      <c r="G21" s="2"/>
      <c r="H21" s="2"/>
      <c r="I21" s="2"/>
      <c r="J21" s="2"/>
      <c r="K21" s="2">
        <v>2068</v>
      </c>
      <c r="L21" s="2"/>
      <c r="M21" s="2"/>
      <c r="N21" s="2"/>
      <c r="O21" s="2"/>
      <c r="P21" s="3">
        <f>SUM(D21:O21)</f>
        <v>2068</v>
      </c>
    </row>
    <row r="22" spans="1:16" x14ac:dyDescent="0.25">
      <c r="A22" s="1" t="s">
        <v>60</v>
      </c>
      <c r="B22" s="16"/>
      <c r="C22" t="s">
        <v>70</v>
      </c>
      <c r="G22" s="2"/>
      <c r="H22" s="2"/>
      <c r="I22" s="2"/>
      <c r="J22" s="2"/>
      <c r="K22" s="2">
        <v>1057</v>
      </c>
      <c r="L22" s="2"/>
      <c r="M22" s="2"/>
      <c r="N22" s="2"/>
      <c r="O22" s="2"/>
      <c r="P22" s="3">
        <f>SUM(D22:O22)</f>
        <v>1057</v>
      </c>
    </row>
    <row r="23" spans="1:16" x14ac:dyDescent="0.25">
      <c r="A23" s="1" t="s">
        <v>62</v>
      </c>
      <c r="B23" s="16"/>
      <c r="C23" t="s">
        <v>69</v>
      </c>
      <c r="G23" s="2"/>
      <c r="H23" s="2"/>
      <c r="I23" s="2"/>
      <c r="J23" s="2"/>
      <c r="K23" s="2">
        <v>1031</v>
      </c>
      <c r="L23" s="2"/>
      <c r="M23" s="2"/>
      <c r="N23" s="2"/>
      <c r="O23" s="2"/>
      <c r="P23" s="3">
        <f>SUM(D23:O23)</f>
        <v>1031</v>
      </c>
    </row>
    <row r="24" spans="1:16" x14ac:dyDescent="0.25">
      <c r="A24" s="1" t="s">
        <v>59</v>
      </c>
      <c r="B24" s="16"/>
      <c r="C24" t="s">
        <v>65</v>
      </c>
      <c r="G24" s="2"/>
      <c r="H24" s="2"/>
      <c r="I24" s="2"/>
      <c r="J24" s="2"/>
      <c r="K24" s="2">
        <v>992</v>
      </c>
      <c r="L24" s="2"/>
      <c r="M24" s="2"/>
      <c r="N24" s="2"/>
      <c r="O24" s="2"/>
      <c r="P24" s="3">
        <f>SUM(D24:O24)</f>
        <v>992</v>
      </c>
    </row>
    <row r="25" spans="1:16" x14ac:dyDescent="0.25">
      <c r="A25" s="1" t="s">
        <v>61</v>
      </c>
      <c r="B25" s="16"/>
      <c r="C25" t="s">
        <v>68</v>
      </c>
      <c r="G25" s="2"/>
      <c r="H25" s="2"/>
      <c r="I25" s="2"/>
      <c r="J25" s="2"/>
      <c r="K25" s="2">
        <v>786</v>
      </c>
      <c r="L25" s="2"/>
      <c r="M25" s="2"/>
      <c r="N25" s="2"/>
      <c r="O25" s="2"/>
      <c r="P25" s="3">
        <f>SUM(D25:O25)</f>
        <v>786</v>
      </c>
    </row>
    <row r="26" spans="1:16" x14ac:dyDescent="0.25">
      <c r="A26" s="1" t="s">
        <v>63</v>
      </c>
      <c r="B26" s="16"/>
      <c r="C26" t="s">
        <v>66</v>
      </c>
      <c r="G26" s="2"/>
      <c r="H26" s="2"/>
      <c r="I26" s="2"/>
      <c r="J26" s="2"/>
      <c r="K26" s="2">
        <v>590</v>
      </c>
      <c r="L26" s="2"/>
      <c r="M26" s="2"/>
      <c r="N26" s="2"/>
      <c r="O26" s="2"/>
      <c r="P26" s="3">
        <f>SUM(D26:O26)</f>
        <v>590</v>
      </c>
    </row>
    <row r="27" spans="1:16" x14ac:dyDescent="0.25">
      <c r="A27" s="1"/>
      <c r="B27" s="16"/>
      <c r="G27" s="2"/>
      <c r="H27" s="2"/>
      <c r="I27" s="2"/>
      <c r="J27" s="2"/>
      <c r="K27" s="2"/>
      <c r="L27" s="2"/>
      <c r="M27" s="2"/>
      <c r="N27" s="2"/>
      <c r="O27" s="2"/>
      <c r="P27" s="3"/>
    </row>
    <row r="28" spans="1:16" x14ac:dyDescent="0.25">
      <c r="A28" s="1"/>
      <c r="B28" s="16"/>
      <c r="G28" s="2"/>
      <c r="H28" s="2"/>
      <c r="I28" s="2"/>
      <c r="J28" s="2"/>
      <c r="K28" s="2"/>
      <c r="L28" s="2"/>
      <c r="M28" s="2"/>
      <c r="N28" s="2"/>
      <c r="O28" s="2"/>
      <c r="P28" s="3"/>
    </row>
    <row r="29" spans="1:16" x14ac:dyDescent="0.25">
      <c r="A29" s="1"/>
      <c r="B29" s="16"/>
      <c r="G29" s="2"/>
      <c r="H29" s="2"/>
      <c r="I29" s="2"/>
      <c r="J29" s="2"/>
      <c r="K29" s="2"/>
      <c r="L29" s="2"/>
      <c r="M29" s="2"/>
      <c r="N29" s="2"/>
      <c r="O29" s="2"/>
      <c r="P29" s="3"/>
    </row>
    <row r="30" spans="1:16" x14ac:dyDescent="0.25">
      <c r="A30" s="1"/>
      <c r="B30" s="16"/>
      <c r="G30" s="2"/>
      <c r="H30" s="2"/>
      <c r="I30" s="2"/>
      <c r="J30" s="2"/>
      <c r="K30" s="2"/>
      <c r="L30" s="2"/>
      <c r="M30" s="2"/>
      <c r="N30" s="2"/>
      <c r="O30" s="2"/>
      <c r="P30" s="3"/>
    </row>
    <row r="31" spans="1:16" x14ac:dyDescent="0.25">
      <c r="A31" s="1"/>
      <c r="B31" s="16"/>
      <c r="G31" s="2"/>
      <c r="H31" s="2"/>
      <c r="I31" s="2"/>
      <c r="J31" s="2"/>
      <c r="K31" s="2"/>
      <c r="L31" s="2"/>
      <c r="M31" s="2"/>
      <c r="N31" s="2"/>
      <c r="O31" s="2"/>
      <c r="P31" s="3"/>
    </row>
    <row r="32" spans="1:16" x14ac:dyDescent="0.25">
      <c r="A32" s="1"/>
      <c r="B32" s="16"/>
      <c r="G32" s="2"/>
      <c r="H32" s="2"/>
      <c r="I32" s="2"/>
      <c r="J32" s="2"/>
      <c r="K32" s="2"/>
      <c r="L32" s="2"/>
      <c r="M32" s="2"/>
      <c r="N32" s="2"/>
      <c r="O32" s="2"/>
      <c r="P32" s="3"/>
    </row>
    <row r="33" spans="1:16" ht="15.75" thickBot="1" x14ac:dyDescent="0.3">
      <c r="A33" s="4"/>
      <c r="B33" s="17"/>
      <c r="C33" s="18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0"/>
    </row>
    <row r="34" spans="1:16" x14ac:dyDescent="0.25">
      <c r="D34" s="11">
        <f t="shared" ref="D34:P34" si="0">SUM(D3:D33)</f>
        <v>33051</v>
      </c>
      <c r="E34" s="11">
        <f t="shared" si="0"/>
        <v>32376</v>
      </c>
      <c r="F34" s="11">
        <f t="shared" si="0"/>
        <v>38750</v>
      </c>
      <c r="G34" s="11">
        <f t="shared" si="0"/>
        <v>36477</v>
      </c>
      <c r="H34" s="11">
        <f t="shared" si="0"/>
        <v>28988</v>
      </c>
      <c r="I34" s="11">
        <f t="shared" si="0"/>
        <v>38199</v>
      </c>
      <c r="J34" s="11">
        <f t="shared" si="0"/>
        <v>34700</v>
      </c>
      <c r="K34" s="11">
        <f t="shared" si="0"/>
        <v>41847</v>
      </c>
      <c r="L34" s="11">
        <f t="shared" si="0"/>
        <v>0</v>
      </c>
      <c r="M34" s="11">
        <f t="shared" si="0"/>
        <v>0</v>
      </c>
      <c r="N34" s="11">
        <f t="shared" si="0"/>
        <v>0</v>
      </c>
      <c r="O34" s="11">
        <f t="shared" si="0"/>
        <v>0</v>
      </c>
      <c r="P34" s="12">
        <f>SUM(P3:P33)</f>
        <v>284388</v>
      </c>
    </row>
    <row r="40" spans="1:16" ht="15.75" thickBot="1" x14ac:dyDescent="0.3"/>
    <row r="41" spans="1:16" ht="15.75" thickBot="1" x14ac:dyDescent="0.3">
      <c r="A41" s="29" t="s">
        <v>36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</row>
    <row r="42" spans="1:16" ht="30.75" thickBot="1" x14ac:dyDescent="0.3">
      <c r="A42" s="5" t="s">
        <v>0</v>
      </c>
      <c r="B42" s="5" t="s">
        <v>35</v>
      </c>
      <c r="C42" s="6" t="s">
        <v>1</v>
      </c>
      <c r="D42" s="20" t="s">
        <v>38</v>
      </c>
      <c r="E42" s="20" t="s">
        <v>39</v>
      </c>
      <c r="F42" s="20" t="s">
        <v>40</v>
      </c>
      <c r="G42" s="20" t="s">
        <v>41</v>
      </c>
      <c r="H42" s="20" t="s">
        <v>42</v>
      </c>
      <c r="I42" s="21" t="s">
        <v>43</v>
      </c>
      <c r="J42" s="21" t="s">
        <v>44</v>
      </c>
      <c r="K42" s="21" t="s">
        <v>45</v>
      </c>
      <c r="L42" s="21" t="s">
        <v>46</v>
      </c>
      <c r="M42" s="21" t="s">
        <v>47</v>
      </c>
      <c r="N42" s="21" t="s">
        <v>48</v>
      </c>
      <c r="O42" s="21" t="s">
        <v>49</v>
      </c>
      <c r="P42" s="7" t="s">
        <v>2</v>
      </c>
    </row>
    <row r="43" spans="1:16" x14ac:dyDescent="0.25">
      <c r="A43" s="8" t="s">
        <v>5</v>
      </c>
      <c r="B43" s="13">
        <v>22777</v>
      </c>
      <c r="C43" s="14" t="s">
        <v>6</v>
      </c>
      <c r="D43" s="15">
        <v>4657</v>
      </c>
      <c r="E43" s="15">
        <v>2952</v>
      </c>
      <c r="F43" s="15">
        <v>4720</v>
      </c>
      <c r="G43" s="15">
        <v>4703</v>
      </c>
      <c r="H43" s="15">
        <v>2574</v>
      </c>
      <c r="I43" s="15">
        <v>5560</v>
      </c>
      <c r="J43" s="15">
        <v>8138</v>
      </c>
      <c r="K43" s="15">
        <v>6981</v>
      </c>
      <c r="L43" s="15">
        <v>6645</v>
      </c>
      <c r="M43" s="15">
        <v>6254</v>
      </c>
      <c r="N43" s="15">
        <v>4570</v>
      </c>
      <c r="O43" s="15">
        <v>5607</v>
      </c>
      <c r="P43" s="9">
        <f t="shared" ref="P43:P59" si="1">SUM(D43:O43)</f>
        <v>63361</v>
      </c>
    </row>
    <row r="44" spans="1:16" x14ac:dyDescent="0.25">
      <c r="A44" s="1" t="s">
        <v>7</v>
      </c>
      <c r="B44" s="16">
        <v>22778</v>
      </c>
      <c r="C44" t="s">
        <v>8</v>
      </c>
      <c r="D44" s="2">
        <v>4236</v>
      </c>
      <c r="E44" s="2">
        <v>2679</v>
      </c>
      <c r="F44" s="2">
        <v>4432</v>
      </c>
      <c r="G44" s="2">
        <v>4494</v>
      </c>
      <c r="H44" s="2">
        <v>2445</v>
      </c>
      <c r="I44" s="2">
        <v>5590</v>
      </c>
      <c r="J44" s="2">
        <v>7935</v>
      </c>
      <c r="K44" s="2">
        <v>6943</v>
      </c>
      <c r="L44" s="2">
        <v>6944</v>
      </c>
      <c r="M44" s="2">
        <v>5967</v>
      </c>
      <c r="N44" s="2">
        <v>4962</v>
      </c>
      <c r="O44" s="2">
        <v>4977</v>
      </c>
      <c r="P44" s="3">
        <f t="shared" si="1"/>
        <v>61604</v>
      </c>
    </row>
    <row r="45" spans="1:16" x14ac:dyDescent="0.25">
      <c r="A45" s="1" t="s">
        <v>9</v>
      </c>
      <c r="B45" s="16">
        <v>22779</v>
      </c>
      <c r="C45" t="s">
        <v>10</v>
      </c>
      <c r="D45" s="2">
        <v>1756</v>
      </c>
      <c r="E45" s="2">
        <v>1234</v>
      </c>
      <c r="F45" s="2">
        <v>1518</v>
      </c>
      <c r="G45" s="2">
        <v>1852</v>
      </c>
      <c r="H45" s="2">
        <v>1016</v>
      </c>
      <c r="I45" s="2">
        <v>3017</v>
      </c>
      <c r="J45" s="2">
        <v>3976</v>
      </c>
      <c r="K45" s="2">
        <v>2534</v>
      </c>
      <c r="L45" s="2">
        <v>2817</v>
      </c>
      <c r="M45" s="2">
        <v>2784</v>
      </c>
      <c r="N45" s="2">
        <v>2404</v>
      </c>
      <c r="O45" s="2">
        <v>2999</v>
      </c>
      <c r="P45" s="3">
        <f t="shared" si="1"/>
        <v>27907</v>
      </c>
    </row>
    <row r="46" spans="1:16" x14ac:dyDescent="0.25">
      <c r="A46" s="1" t="s">
        <v>11</v>
      </c>
      <c r="B46" s="16">
        <v>22780</v>
      </c>
      <c r="C46" t="s">
        <v>12</v>
      </c>
      <c r="D46" s="2">
        <v>1352</v>
      </c>
      <c r="E46" s="2">
        <v>639</v>
      </c>
      <c r="F46" s="2">
        <v>1297</v>
      </c>
      <c r="G46" s="2">
        <v>1020</v>
      </c>
      <c r="H46" s="2">
        <v>716</v>
      </c>
      <c r="I46" s="2">
        <v>2363</v>
      </c>
      <c r="J46" s="2">
        <v>2911</v>
      </c>
      <c r="K46" s="2">
        <v>1844</v>
      </c>
      <c r="L46" s="2">
        <v>1831</v>
      </c>
      <c r="M46" s="2">
        <v>1770</v>
      </c>
      <c r="N46" s="2">
        <v>1796</v>
      </c>
      <c r="O46" s="2">
        <v>1972</v>
      </c>
      <c r="P46" s="3">
        <f t="shared" si="1"/>
        <v>19511</v>
      </c>
    </row>
    <row r="47" spans="1:16" x14ac:dyDescent="0.25">
      <c r="A47" s="1" t="s">
        <v>13</v>
      </c>
      <c r="B47" s="16"/>
      <c r="C47" t="s">
        <v>14</v>
      </c>
      <c r="G47" s="2">
        <v>4241</v>
      </c>
      <c r="H47" s="2">
        <v>1801</v>
      </c>
      <c r="I47" s="2">
        <v>2846</v>
      </c>
      <c r="J47" s="2">
        <v>3950</v>
      </c>
      <c r="K47" s="2">
        <v>958</v>
      </c>
      <c r="L47" s="2">
        <v>939</v>
      </c>
      <c r="M47" s="2">
        <v>682</v>
      </c>
      <c r="N47" s="2">
        <v>20</v>
      </c>
      <c r="O47" s="2">
        <v>1051</v>
      </c>
      <c r="P47" s="3">
        <f t="shared" si="1"/>
        <v>16488</v>
      </c>
    </row>
    <row r="48" spans="1:16" x14ac:dyDescent="0.25">
      <c r="A48" s="1" t="s">
        <v>15</v>
      </c>
      <c r="B48" s="16"/>
      <c r="C48" t="s">
        <v>16</v>
      </c>
      <c r="D48"/>
      <c r="G48" s="2">
        <v>4289</v>
      </c>
      <c r="H48" s="2">
        <v>1777</v>
      </c>
      <c r="I48" s="2">
        <v>2844</v>
      </c>
      <c r="J48" s="2">
        <v>4126</v>
      </c>
      <c r="K48" s="2">
        <v>937</v>
      </c>
      <c r="L48" s="2">
        <v>782</v>
      </c>
      <c r="M48" s="2">
        <v>622</v>
      </c>
      <c r="N48" s="2">
        <v>222</v>
      </c>
      <c r="O48" s="2">
        <v>865</v>
      </c>
      <c r="P48" s="3">
        <f t="shared" si="1"/>
        <v>16464</v>
      </c>
    </row>
    <row r="49" spans="1:16" x14ac:dyDescent="0.25">
      <c r="A49" s="1" t="s">
        <v>3</v>
      </c>
      <c r="B49" s="16">
        <v>22776</v>
      </c>
      <c r="C49" t="s">
        <v>4</v>
      </c>
      <c r="D49" s="2">
        <v>952</v>
      </c>
      <c r="E49" s="2">
        <v>531</v>
      </c>
      <c r="F49" s="2">
        <v>901</v>
      </c>
      <c r="G49" s="2">
        <v>777</v>
      </c>
      <c r="H49" s="2">
        <v>410</v>
      </c>
      <c r="I49" s="2">
        <v>1281</v>
      </c>
      <c r="J49" s="2">
        <v>1731</v>
      </c>
      <c r="K49" s="2">
        <v>1032</v>
      </c>
      <c r="L49" s="2">
        <v>1015</v>
      </c>
      <c r="M49" s="2">
        <v>1109</v>
      </c>
      <c r="N49" s="2">
        <v>1124</v>
      </c>
      <c r="O49" s="2">
        <v>1228</v>
      </c>
      <c r="P49" s="3">
        <f t="shared" si="1"/>
        <v>12091</v>
      </c>
    </row>
    <row r="50" spans="1:16" x14ac:dyDescent="0.25">
      <c r="A50" s="1" t="s">
        <v>19</v>
      </c>
      <c r="B50" s="16"/>
      <c r="C50" t="s">
        <v>20</v>
      </c>
      <c r="G50" s="2"/>
      <c r="H50" s="2"/>
      <c r="I50" s="2"/>
      <c r="J50" s="2"/>
      <c r="K50" s="2"/>
      <c r="L50" s="2">
        <v>635</v>
      </c>
      <c r="M50" s="2">
        <v>5128</v>
      </c>
      <c r="N50" s="2">
        <v>3183</v>
      </c>
      <c r="O50" s="2">
        <v>2726</v>
      </c>
      <c r="P50" s="3">
        <f t="shared" si="1"/>
        <v>11672</v>
      </c>
    </row>
    <row r="51" spans="1:16" x14ac:dyDescent="0.25">
      <c r="A51" s="1" t="s">
        <v>23</v>
      </c>
      <c r="B51" s="16"/>
      <c r="C51" t="s">
        <v>24</v>
      </c>
      <c r="G51" s="2"/>
      <c r="H51" s="2"/>
      <c r="I51" s="2"/>
      <c r="J51" s="2"/>
      <c r="K51" s="2"/>
      <c r="L51" s="2">
        <v>632</v>
      </c>
      <c r="M51" s="2">
        <v>5181</v>
      </c>
      <c r="N51" s="2">
        <v>3148</v>
      </c>
      <c r="O51" s="2">
        <v>2583</v>
      </c>
      <c r="P51" s="3">
        <f t="shared" si="1"/>
        <v>11544</v>
      </c>
    </row>
    <row r="52" spans="1:16" x14ac:dyDescent="0.25">
      <c r="A52" s="1" t="s">
        <v>17</v>
      </c>
      <c r="B52" s="16"/>
      <c r="C52" t="s">
        <v>18</v>
      </c>
      <c r="G52" s="2"/>
      <c r="H52" s="2"/>
      <c r="I52" s="2"/>
      <c r="J52" s="2"/>
      <c r="K52" s="2"/>
      <c r="L52" s="2">
        <v>635</v>
      </c>
      <c r="M52" s="2">
        <v>5142</v>
      </c>
      <c r="N52" s="2">
        <v>3147</v>
      </c>
      <c r="O52" s="2">
        <v>2600</v>
      </c>
      <c r="P52" s="3">
        <f t="shared" si="1"/>
        <v>11524</v>
      </c>
    </row>
    <row r="53" spans="1:16" x14ac:dyDescent="0.25">
      <c r="A53" s="1" t="s">
        <v>21</v>
      </c>
      <c r="B53" s="16"/>
      <c r="C53" t="s">
        <v>22</v>
      </c>
      <c r="G53" s="2"/>
      <c r="H53" s="2"/>
      <c r="I53" s="2"/>
      <c r="J53" s="2"/>
      <c r="K53" s="2"/>
      <c r="L53" s="2">
        <v>637</v>
      </c>
      <c r="M53" s="2">
        <v>5172</v>
      </c>
      <c r="N53" s="2">
        <v>3128</v>
      </c>
      <c r="O53" s="2">
        <v>2583</v>
      </c>
      <c r="P53" s="3">
        <f t="shared" si="1"/>
        <v>11520</v>
      </c>
    </row>
    <row r="54" spans="1:16" x14ac:dyDescent="0.25">
      <c r="A54" s="1" t="s">
        <v>52</v>
      </c>
      <c r="B54" s="16"/>
      <c r="C54" t="s">
        <v>30</v>
      </c>
      <c r="G54" s="2"/>
      <c r="H54" s="2"/>
      <c r="I54" s="2"/>
      <c r="J54" s="2"/>
      <c r="K54" s="2"/>
      <c r="L54" s="2"/>
      <c r="M54" s="2"/>
      <c r="N54" s="2">
        <v>2818</v>
      </c>
      <c r="O54" s="2">
        <v>5700</v>
      </c>
      <c r="P54" s="3">
        <f t="shared" si="1"/>
        <v>8518</v>
      </c>
    </row>
    <row r="55" spans="1:16" x14ac:dyDescent="0.25">
      <c r="A55" s="1" t="s">
        <v>53</v>
      </c>
      <c r="B55" s="16"/>
      <c r="C55" t="s">
        <v>32</v>
      </c>
      <c r="G55" s="2"/>
      <c r="H55" s="2"/>
      <c r="I55" s="2"/>
      <c r="J55" s="2"/>
      <c r="K55" s="2"/>
      <c r="L55" s="2"/>
      <c r="M55" s="2"/>
      <c r="N55" s="2">
        <v>2129</v>
      </c>
      <c r="O55" s="2">
        <v>5864</v>
      </c>
      <c r="P55" s="3">
        <f t="shared" si="1"/>
        <v>7993</v>
      </c>
    </row>
    <row r="56" spans="1:16" x14ac:dyDescent="0.25">
      <c r="A56" s="1" t="s">
        <v>54</v>
      </c>
      <c r="B56" s="16"/>
      <c r="C56" t="s">
        <v>34</v>
      </c>
      <c r="G56" s="2"/>
      <c r="H56" s="2"/>
      <c r="I56" s="2"/>
      <c r="J56" s="2"/>
      <c r="K56" s="2"/>
      <c r="L56" s="2"/>
      <c r="M56" s="2"/>
      <c r="N56" s="2">
        <v>1821</v>
      </c>
      <c r="O56" s="2">
        <v>2463</v>
      </c>
      <c r="P56" s="3">
        <f t="shared" si="1"/>
        <v>4284</v>
      </c>
    </row>
    <row r="57" spans="1:16" x14ac:dyDescent="0.25">
      <c r="A57" s="1" t="s">
        <v>55</v>
      </c>
      <c r="B57" s="16"/>
      <c r="C57" t="s">
        <v>56</v>
      </c>
      <c r="G57" s="2"/>
      <c r="H57" s="2"/>
      <c r="I57" s="2"/>
      <c r="J57" s="2"/>
      <c r="K57" s="2"/>
      <c r="L57" s="2"/>
      <c r="M57" s="2"/>
      <c r="N57" s="2">
        <v>3</v>
      </c>
      <c r="O57" s="2">
        <v>2683</v>
      </c>
      <c r="P57" s="3">
        <f t="shared" si="1"/>
        <v>2686</v>
      </c>
    </row>
    <row r="58" spans="1:16" x14ac:dyDescent="0.25">
      <c r="A58" s="1" t="s">
        <v>51</v>
      </c>
      <c r="B58" s="16"/>
      <c r="C58" t="s">
        <v>28</v>
      </c>
      <c r="G58" s="2"/>
      <c r="H58" s="2"/>
      <c r="I58" s="2"/>
      <c r="J58" s="2"/>
      <c r="K58" s="2"/>
      <c r="L58" s="2"/>
      <c r="M58" s="2"/>
      <c r="N58" s="2">
        <v>1037</v>
      </c>
      <c r="O58" s="2">
        <v>1601</v>
      </c>
      <c r="P58" s="3">
        <f t="shared" si="1"/>
        <v>2638</v>
      </c>
    </row>
    <row r="59" spans="1:16" ht="15.75" thickBot="1" x14ac:dyDescent="0.3">
      <c r="A59" s="4" t="s">
        <v>25</v>
      </c>
      <c r="B59" s="17"/>
      <c r="C59" s="18" t="s">
        <v>26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>
        <v>81</v>
      </c>
      <c r="O59" s="19">
        <v>1768</v>
      </c>
      <c r="P59" s="10">
        <f t="shared" si="1"/>
        <v>1849</v>
      </c>
    </row>
    <row r="60" spans="1:16" x14ac:dyDescent="0.25">
      <c r="D60" s="11">
        <f t="shared" ref="D60:P60" si="2">SUM(D43:D59)</f>
        <v>12953</v>
      </c>
      <c r="E60" s="11">
        <f t="shared" si="2"/>
        <v>8035</v>
      </c>
      <c r="F60" s="11">
        <f t="shared" si="2"/>
        <v>12868</v>
      </c>
      <c r="G60" s="11">
        <f t="shared" si="2"/>
        <v>21376</v>
      </c>
      <c r="H60" s="11">
        <f t="shared" si="2"/>
        <v>10739</v>
      </c>
      <c r="I60" s="11">
        <f t="shared" si="2"/>
        <v>23501</v>
      </c>
      <c r="J60" s="11">
        <f t="shared" si="2"/>
        <v>32767</v>
      </c>
      <c r="K60" s="11">
        <f t="shared" si="2"/>
        <v>21229</v>
      </c>
      <c r="L60" s="11">
        <f t="shared" si="2"/>
        <v>23512</v>
      </c>
      <c r="M60" s="11">
        <f t="shared" si="2"/>
        <v>39811</v>
      </c>
      <c r="N60" s="11">
        <f t="shared" si="2"/>
        <v>35593</v>
      </c>
      <c r="O60" s="11">
        <f t="shared" si="2"/>
        <v>49270</v>
      </c>
      <c r="P60" s="12">
        <f t="shared" si="2"/>
        <v>291654</v>
      </c>
    </row>
    <row r="66" spans="1:16" ht="15.75" thickBot="1" x14ac:dyDescent="0.3"/>
    <row r="67" spans="1:16" ht="15.75" thickBot="1" x14ac:dyDescent="0.3">
      <c r="A67" s="29" t="s">
        <v>37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</row>
    <row r="68" spans="1:16" ht="30.75" thickBot="1" x14ac:dyDescent="0.3">
      <c r="A68" s="5" t="s">
        <v>0</v>
      </c>
      <c r="B68" s="5" t="s">
        <v>35</v>
      </c>
      <c r="C68" s="6" t="s">
        <v>1</v>
      </c>
      <c r="D68" s="20" t="s">
        <v>38</v>
      </c>
      <c r="E68" s="20" t="s">
        <v>39</v>
      </c>
      <c r="F68" s="20" t="s">
        <v>40</v>
      </c>
      <c r="G68" s="20" t="s">
        <v>41</v>
      </c>
      <c r="H68" s="20" t="s">
        <v>42</v>
      </c>
      <c r="I68" s="21" t="s">
        <v>43</v>
      </c>
      <c r="J68" s="21" t="s">
        <v>44</v>
      </c>
      <c r="K68" s="21" t="s">
        <v>45</v>
      </c>
      <c r="L68" s="21" t="s">
        <v>46</v>
      </c>
      <c r="M68" s="21" t="s">
        <v>47</v>
      </c>
      <c r="N68" s="21" t="s">
        <v>48</v>
      </c>
      <c r="O68" s="21" t="s">
        <v>49</v>
      </c>
      <c r="P68" s="7" t="s">
        <v>2</v>
      </c>
    </row>
    <row r="69" spans="1:16" x14ac:dyDescent="0.25">
      <c r="A69" s="8" t="s">
        <v>5</v>
      </c>
      <c r="B69" s="13">
        <v>22777</v>
      </c>
      <c r="C69" s="14" t="s">
        <v>6</v>
      </c>
      <c r="D69" s="15">
        <v>4143</v>
      </c>
      <c r="E69" s="15">
        <v>3175</v>
      </c>
      <c r="F69" s="15">
        <v>2739</v>
      </c>
      <c r="G69" s="15">
        <v>3760</v>
      </c>
      <c r="H69" s="15">
        <v>2173</v>
      </c>
      <c r="I69" s="15">
        <v>5160</v>
      </c>
      <c r="J69" s="15">
        <v>5910</v>
      </c>
      <c r="K69" s="15">
        <v>7435</v>
      </c>
      <c r="L69" s="15">
        <v>6680</v>
      </c>
      <c r="M69" s="15">
        <v>6364</v>
      </c>
      <c r="N69" s="15">
        <v>5529</v>
      </c>
      <c r="O69" s="15">
        <v>5547</v>
      </c>
      <c r="P69" s="9">
        <f t="shared" ref="P69:P84" si="3">SUM(D69:O69)</f>
        <v>58615</v>
      </c>
    </row>
    <row r="70" spans="1:16" x14ac:dyDescent="0.25">
      <c r="A70" s="1" t="s">
        <v>7</v>
      </c>
      <c r="B70" s="16">
        <v>22778</v>
      </c>
      <c r="C70" t="s">
        <v>8</v>
      </c>
      <c r="D70" s="2">
        <v>4019</v>
      </c>
      <c r="E70" s="2">
        <v>3146</v>
      </c>
      <c r="F70" s="2">
        <v>2701</v>
      </c>
      <c r="G70" s="2">
        <v>3766</v>
      </c>
      <c r="H70" s="2">
        <v>2066</v>
      </c>
      <c r="I70" s="2">
        <v>4682</v>
      </c>
      <c r="J70" s="2">
        <v>5690</v>
      </c>
      <c r="K70" s="2">
        <v>7057</v>
      </c>
      <c r="L70" s="2">
        <v>6268</v>
      </c>
      <c r="M70" s="2">
        <v>5919</v>
      </c>
      <c r="N70" s="2">
        <v>4538</v>
      </c>
      <c r="O70" s="2">
        <v>5539</v>
      </c>
      <c r="P70" s="3">
        <f t="shared" si="3"/>
        <v>55391</v>
      </c>
    </row>
    <row r="71" spans="1:16" x14ac:dyDescent="0.25">
      <c r="A71" s="1" t="s">
        <v>9</v>
      </c>
      <c r="B71" s="16">
        <v>22779</v>
      </c>
      <c r="C71" t="s">
        <v>10</v>
      </c>
      <c r="D71" s="2">
        <v>2491</v>
      </c>
      <c r="E71" s="2">
        <v>1782</v>
      </c>
      <c r="F71" s="2">
        <v>1510</v>
      </c>
      <c r="G71" s="2">
        <v>1978</v>
      </c>
      <c r="H71" s="2">
        <v>1170</v>
      </c>
      <c r="I71" s="2">
        <v>2806</v>
      </c>
      <c r="J71" s="2">
        <v>3654</v>
      </c>
      <c r="K71" s="2">
        <v>3614</v>
      </c>
      <c r="L71" s="2">
        <v>3401</v>
      </c>
      <c r="M71" s="2">
        <v>2647</v>
      </c>
      <c r="N71" s="2">
        <v>2141</v>
      </c>
      <c r="O71" s="2">
        <v>2133</v>
      </c>
      <c r="P71" s="3">
        <f t="shared" si="3"/>
        <v>29327</v>
      </c>
    </row>
    <row r="72" spans="1:16" x14ac:dyDescent="0.25">
      <c r="A72" s="1" t="s">
        <v>11</v>
      </c>
      <c r="B72" s="16">
        <v>22780</v>
      </c>
      <c r="C72" t="s">
        <v>12</v>
      </c>
      <c r="D72" s="2">
        <v>2519</v>
      </c>
      <c r="E72" s="2">
        <v>1683</v>
      </c>
      <c r="F72" s="2">
        <v>1393</v>
      </c>
      <c r="G72" s="2">
        <v>1861</v>
      </c>
      <c r="H72" s="2">
        <v>1010</v>
      </c>
      <c r="I72" s="2">
        <v>2499</v>
      </c>
      <c r="J72" s="2">
        <v>3174</v>
      </c>
      <c r="K72" s="2">
        <v>2640</v>
      </c>
      <c r="L72" s="2">
        <v>2885</v>
      </c>
      <c r="M72" s="2">
        <v>2535</v>
      </c>
      <c r="N72" s="2">
        <v>1637</v>
      </c>
      <c r="O72" s="2">
        <v>1533</v>
      </c>
      <c r="P72" s="3">
        <f t="shared" si="3"/>
        <v>25369</v>
      </c>
    </row>
    <row r="73" spans="1:16" x14ac:dyDescent="0.25">
      <c r="A73" s="1" t="s">
        <v>3</v>
      </c>
      <c r="B73" s="16">
        <v>22776</v>
      </c>
      <c r="C73" t="s">
        <v>4</v>
      </c>
      <c r="D73" s="2">
        <v>2710</v>
      </c>
      <c r="E73" s="2">
        <v>1868</v>
      </c>
      <c r="F73" s="2">
        <v>1519</v>
      </c>
      <c r="G73" s="2">
        <v>1697</v>
      </c>
      <c r="H73" s="2">
        <v>929</v>
      </c>
      <c r="I73" s="2">
        <v>2234</v>
      </c>
      <c r="J73" s="2">
        <v>3059</v>
      </c>
      <c r="K73" s="2">
        <v>2552</v>
      </c>
      <c r="L73" s="2">
        <v>2264</v>
      </c>
      <c r="M73" s="2">
        <v>2336</v>
      </c>
      <c r="N73" s="2">
        <v>1141</v>
      </c>
      <c r="O73" s="2">
        <v>1239</v>
      </c>
      <c r="P73" s="3">
        <f t="shared" si="3"/>
        <v>23548</v>
      </c>
    </row>
    <row r="74" spans="1:16" x14ac:dyDescent="0.25">
      <c r="A74" s="1" t="s">
        <v>13</v>
      </c>
      <c r="B74" s="16"/>
      <c r="C74" t="s">
        <v>14</v>
      </c>
      <c r="G74" s="2"/>
      <c r="H74" s="2"/>
      <c r="I74" s="2"/>
      <c r="J74" s="2"/>
      <c r="K74" s="2"/>
      <c r="L74" s="2"/>
      <c r="M74" s="2"/>
      <c r="N74" s="2"/>
      <c r="O74" s="2"/>
      <c r="P74" s="3">
        <f t="shared" si="3"/>
        <v>0</v>
      </c>
    </row>
    <row r="75" spans="1:16" x14ac:dyDescent="0.25">
      <c r="A75" s="1" t="s">
        <v>15</v>
      </c>
      <c r="B75" s="16"/>
      <c r="C75" t="s">
        <v>16</v>
      </c>
      <c r="D75"/>
      <c r="G75" s="2"/>
      <c r="H75" s="2"/>
      <c r="I75" s="2"/>
      <c r="J75" s="2"/>
      <c r="K75" s="2"/>
      <c r="L75" s="2"/>
      <c r="M75" s="2"/>
      <c r="N75" s="2"/>
      <c r="O75" s="2"/>
      <c r="P75" s="3">
        <f t="shared" si="3"/>
        <v>0</v>
      </c>
    </row>
    <row r="76" spans="1:16" x14ac:dyDescent="0.25">
      <c r="A76" s="1" t="s">
        <v>17</v>
      </c>
      <c r="B76" s="16"/>
      <c r="C76" t="s">
        <v>18</v>
      </c>
      <c r="G76" s="2"/>
      <c r="H76" s="2"/>
      <c r="I76" s="2"/>
      <c r="J76" s="2"/>
      <c r="K76" s="2"/>
      <c r="L76" s="2"/>
      <c r="M76" s="2"/>
      <c r="N76" s="2"/>
      <c r="O76" s="2"/>
      <c r="P76" s="3">
        <f t="shared" si="3"/>
        <v>0</v>
      </c>
    </row>
    <row r="77" spans="1:16" x14ac:dyDescent="0.25">
      <c r="A77" s="1" t="s">
        <v>19</v>
      </c>
      <c r="B77" s="16"/>
      <c r="C77" t="s">
        <v>20</v>
      </c>
      <c r="G77" s="2"/>
      <c r="H77" s="2"/>
      <c r="I77" s="2"/>
      <c r="J77" s="2"/>
      <c r="K77" s="2"/>
      <c r="L77" s="2"/>
      <c r="M77" s="2"/>
      <c r="N77" s="2"/>
      <c r="O77" s="2"/>
      <c r="P77" s="3">
        <f t="shared" si="3"/>
        <v>0</v>
      </c>
    </row>
    <row r="78" spans="1:16" x14ac:dyDescent="0.25">
      <c r="A78" s="1" t="s">
        <v>21</v>
      </c>
      <c r="B78" s="16"/>
      <c r="C78" t="s">
        <v>22</v>
      </c>
      <c r="G78" s="2"/>
      <c r="H78" s="2"/>
      <c r="I78" s="2"/>
      <c r="J78" s="2"/>
      <c r="K78" s="2"/>
      <c r="L78" s="2"/>
      <c r="M78" s="2"/>
      <c r="N78" s="2"/>
      <c r="O78" s="2"/>
      <c r="P78" s="3">
        <f t="shared" si="3"/>
        <v>0</v>
      </c>
    </row>
    <row r="79" spans="1:16" x14ac:dyDescent="0.25">
      <c r="A79" s="1" t="s">
        <v>23</v>
      </c>
      <c r="B79" s="16"/>
      <c r="C79" t="s">
        <v>24</v>
      </c>
      <c r="G79" s="2"/>
      <c r="H79" s="2"/>
      <c r="I79" s="2"/>
      <c r="J79" s="2"/>
      <c r="K79" s="2"/>
      <c r="L79" s="2"/>
      <c r="M79" s="2"/>
      <c r="N79" s="2"/>
      <c r="O79" s="2"/>
      <c r="P79" s="3">
        <f t="shared" si="3"/>
        <v>0</v>
      </c>
    </row>
    <row r="80" spans="1:16" x14ac:dyDescent="0.25">
      <c r="A80" s="1" t="s">
        <v>25</v>
      </c>
      <c r="B80" s="16"/>
      <c r="C80" t="s">
        <v>26</v>
      </c>
      <c r="G80" s="2"/>
      <c r="H80" s="2"/>
      <c r="I80" s="2"/>
      <c r="J80" s="2"/>
      <c r="K80" s="2"/>
      <c r="L80" s="2"/>
      <c r="M80" s="2"/>
      <c r="N80" s="2"/>
      <c r="O80" s="2"/>
      <c r="P80" s="3">
        <f t="shared" si="3"/>
        <v>0</v>
      </c>
    </row>
    <row r="81" spans="1:16" x14ac:dyDescent="0.25">
      <c r="A81" s="1" t="s">
        <v>27</v>
      </c>
      <c r="B81" s="16"/>
      <c r="C81" t="s">
        <v>28</v>
      </c>
      <c r="G81" s="2"/>
      <c r="H81" s="2"/>
      <c r="I81" s="2"/>
      <c r="J81" s="2"/>
      <c r="K81" s="2"/>
      <c r="L81" s="2"/>
      <c r="M81" s="2"/>
      <c r="N81" s="2"/>
      <c r="O81" s="2"/>
      <c r="P81" s="3">
        <f t="shared" si="3"/>
        <v>0</v>
      </c>
    </row>
    <row r="82" spans="1:16" x14ac:dyDescent="0.25">
      <c r="A82" s="1" t="s">
        <v>29</v>
      </c>
      <c r="B82" s="16"/>
      <c r="C82" t="s">
        <v>30</v>
      </c>
      <c r="G82" s="2"/>
      <c r="H82" s="2"/>
      <c r="I82" s="2"/>
      <c r="J82" s="2"/>
      <c r="K82" s="2"/>
      <c r="L82" s="2"/>
      <c r="M82" s="2"/>
      <c r="N82" s="2"/>
      <c r="O82" s="2"/>
      <c r="P82" s="3">
        <f t="shared" si="3"/>
        <v>0</v>
      </c>
    </row>
    <row r="83" spans="1:16" x14ac:dyDescent="0.25">
      <c r="A83" s="1" t="s">
        <v>31</v>
      </c>
      <c r="B83" s="16"/>
      <c r="C83" t="s">
        <v>32</v>
      </c>
      <c r="G83" s="2"/>
      <c r="H83" s="2"/>
      <c r="I83" s="2"/>
      <c r="J83" s="2"/>
      <c r="K83" s="2"/>
      <c r="L83" s="2"/>
      <c r="M83" s="2"/>
      <c r="N83" s="2"/>
      <c r="O83" s="2"/>
      <c r="P83" s="3">
        <f t="shared" si="3"/>
        <v>0</v>
      </c>
    </row>
    <row r="84" spans="1:16" ht="15.75" thickBot="1" x14ac:dyDescent="0.3">
      <c r="A84" s="4" t="s">
        <v>33</v>
      </c>
      <c r="B84" s="17"/>
      <c r="C84" s="18" t="s">
        <v>34</v>
      </c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0">
        <f t="shared" si="3"/>
        <v>0</v>
      </c>
    </row>
    <row r="85" spans="1:16" x14ac:dyDescent="0.25">
      <c r="D85" s="11">
        <f t="shared" ref="D85:P85" si="4">SUM(D69:D84)</f>
        <v>15882</v>
      </c>
      <c r="E85" s="11">
        <f t="shared" si="4"/>
        <v>11654</v>
      </c>
      <c r="F85" s="11">
        <f t="shared" si="4"/>
        <v>9862</v>
      </c>
      <c r="G85" s="11">
        <f t="shared" si="4"/>
        <v>13062</v>
      </c>
      <c r="H85" s="11">
        <f t="shared" si="4"/>
        <v>7348</v>
      </c>
      <c r="I85" s="11">
        <f t="shared" si="4"/>
        <v>17381</v>
      </c>
      <c r="J85" s="11">
        <f t="shared" si="4"/>
        <v>21487</v>
      </c>
      <c r="K85" s="11">
        <f t="shared" si="4"/>
        <v>23298</v>
      </c>
      <c r="L85" s="11">
        <f t="shared" si="4"/>
        <v>21498</v>
      </c>
      <c r="M85" s="11">
        <f t="shared" si="4"/>
        <v>19801</v>
      </c>
      <c r="N85" s="11">
        <f t="shared" si="4"/>
        <v>14986</v>
      </c>
      <c r="O85" s="11">
        <f t="shared" si="4"/>
        <v>15991</v>
      </c>
      <c r="P85" s="12">
        <f t="shared" si="4"/>
        <v>192250</v>
      </c>
    </row>
  </sheetData>
  <autoFilter ref="A2:P2" xr:uid="{C3665843-F6F2-4FB4-B697-4875D8B61D4A}">
    <sortState xmlns:xlrd2="http://schemas.microsoft.com/office/spreadsheetml/2017/richdata2" ref="A3:P26">
      <sortCondition descending="1" ref="P2"/>
    </sortState>
  </autoFilter>
  <mergeCells count="3">
    <mergeCell ref="A1:P1"/>
    <mergeCell ref="A41:P41"/>
    <mergeCell ref="A67:P6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MARCAPROPIA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Mario González</cp:lastModifiedBy>
  <dcterms:created xsi:type="dcterms:W3CDTF">2024-10-23T16:55:21Z</dcterms:created>
  <dcterms:modified xsi:type="dcterms:W3CDTF">2026-09-04T16:57:20Z</dcterms:modified>
</cp:coreProperties>
</file>