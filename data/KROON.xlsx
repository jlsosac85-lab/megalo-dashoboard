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a4a19649b5fa823/Documentos/TRABAJO/MEGALO/SELLOUT/"/>
    </mc:Choice>
  </mc:AlternateContent>
  <xr:revisionPtr revIDLastSave="302" documentId="8_{17657911-FBDC-4890-8761-A30CF4D5D0F2}" xr6:coauthVersionLast="47" xr6:coauthVersionMax="47" xr10:uidLastSave="{88714716-65AD-45A0-8EDE-FF468F2E0698}"/>
  <bookViews>
    <workbookView xWindow="-120" yWindow="-120" windowWidth="38640" windowHeight="21120" xr2:uid="{15390907-E293-428A-912E-2571C4706E86}"/>
  </bookViews>
  <sheets>
    <sheet name="KROON" sheetId="1" r:id="rId1"/>
  </sheets>
  <definedNames>
    <definedName name="_xlnm._FilterDatabase" localSheetId="0" hidden="1">KROON!$A$2:$P$2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2" i="1" l="1"/>
  <c r="N12" i="1"/>
  <c r="M12" i="1"/>
  <c r="L12" i="1"/>
  <c r="K12" i="1"/>
  <c r="J12" i="1"/>
  <c r="I12" i="1"/>
  <c r="H12" i="1"/>
  <c r="G12" i="1"/>
  <c r="F12" i="1"/>
  <c r="E12" i="1"/>
  <c r="D12" i="1"/>
  <c r="P11" i="1"/>
  <c r="P10" i="1"/>
  <c r="P6" i="1"/>
  <c r="P9" i="1"/>
  <c r="P8" i="1"/>
  <c r="P7" i="1"/>
  <c r="P5" i="1"/>
  <c r="P4" i="1"/>
  <c r="P3" i="1"/>
  <c r="P29" i="1"/>
  <c r="P28" i="1"/>
  <c r="P22" i="1"/>
  <c r="P21" i="1"/>
  <c r="P26" i="1"/>
  <c r="P23" i="1"/>
  <c r="P25" i="1"/>
  <c r="P24" i="1"/>
  <c r="P27" i="1"/>
  <c r="P45" i="1"/>
  <c r="P46" i="1"/>
  <c r="P41" i="1"/>
  <c r="P43" i="1"/>
  <c r="P44" i="1"/>
  <c r="P39" i="1"/>
  <c r="P42" i="1"/>
  <c r="P47" i="1"/>
  <c r="P40" i="1"/>
  <c r="O48" i="1"/>
  <c r="N48" i="1"/>
  <c r="M48" i="1"/>
  <c r="L48" i="1"/>
  <c r="K48" i="1"/>
  <c r="J48" i="1"/>
  <c r="I48" i="1"/>
  <c r="H48" i="1"/>
  <c r="G48" i="1"/>
  <c r="F48" i="1"/>
  <c r="E48" i="1"/>
  <c r="D48" i="1"/>
  <c r="L30" i="1"/>
  <c r="M30" i="1"/>
  <c r="N30" i="1"/>
  <c r="O30" i="1"/>
  <c r="K30" i="1"/>
  <c r="I30" i="1"/>
  <c r="J30" i="1"/>
  <c r="H30" i="1"/>
  <c r="F30" i="1"/>
  <c r="G30" i="1"/>
  <c r="E30" i="1"/>
  <c r="P12" i="1" l="1"/>
  <c r="P30" i="1"/>
  <c r="P48" i="1"/>
  <c r="D30" i="1"/>
</calcChain>
</file>

<file path=xl/sharedStrings.xml><?xml version="1.0" encoding="utf-8"?>
<sst xmlns="http://schemas.openxmlformats.org/spreadsheetml/2006/main" count="106" uniqueCount="38">
  <si>
    <t>MEGALO
SKU</t>
  </si>
  <si>
    <t>MAS BODEGA
SKU</t>
  </si>
  <si>
    <t>PRODUCTO</t>
  </si>
  <si>
    <t>KR111</t>
  </si>
  <si>
    <t>KROON ANDROID REFORZADO 2.1A</t>
  </si>
  <si>
    <t>KR112</t>
  </si>
  <si>
    <t>KROON IPHONE REFORZADO 2.1A</t>
  </si>
  <si>
    <t>KR113</t>
  </si>
  <si>
    <t>KROON TIPO C REFORZADO 2.1A</t>
  </si>
  <si>
    <t>KR114</t>
  </si>
  <si>
    <t>KROON AUDIFONO MANOS LIBRES</t>
  </si>
  <si>
    <t>KR121</t>
  </si>
  <si>
    <t>KROON ANDROID LED 2.1A</t>
  </si>
  <si>
    <t>KR122</t>
  </si>
  <si>
    <t>KROON IPHONE LED 2.1A</t>
  </si>
  <si>
    <t>KR123</t>
  </si>
  <si>
    <t>KROON TIPO C LED 2.1A</t>
  </si>
  <si>
    <t>KR190</t>
  </si>
  <si>
    <t>KROON ZIPPER ANDROID Y IPHONE</t>
  </si>
  <si>
    <t>KR191</t>
  </si>
  <si>
    <t>KROON CABLE LLAVERO PULPO</t>
  </si>
  <si>
    <t>TOTAL</t>
  </si>
  <si>
    <t>PRODUCTOS DADOS DE BAJA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</si>
  <si>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</si>
  <si>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</si>
  <si>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</si>
  <si>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</si>
  <si>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</si>
  <si>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</si>
  <si>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</si>
  <si>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</si>
  <si>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</si>
  <si>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</si>
  <si>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</si>
  <si>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</si>
  <si>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VENTAS POR UNIDADES MARCA KROON 2025</t>
  </si>
  <si>
    <t>VENTAS POR UNIDADES MARCA KROON 2024</t>
  </si>
  <si>
    <t>VENTAS POR UNIDADES MARCA KROON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</si>
</sst>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 Light"/>
      <family val="2"/>
      <scheme val="maj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7CE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4" borderId="0" applyNumberFormat="0" applyBorder="0" applyAlignment="0" applyProtection="0"/>
  </cellStyleXfs>
  <cellXfs count="31">
    <xf numFmtId="0" fontId="0" fillId="0" borderId="0" xfId="0"/>
    <xf numFmtId="0" fontId="0" fillId="0" borderId="3" xfId="0" applyBorder="1"/>
    <xf numFmtId="0" fontId="3" fillId="4" borderId="3" xfId="1" applyBorder="1"/>
    <xf numFmtId="0" fontId="3" fillId="4" borderId="0" xfId="1"/>
    <xf numFmtId="3" fontId="3" fillId="4" borderId="4" xfId="1" applyNumberFormat="1" applyBorder="1"/>
    <xf numFmtId="0" fontId="3" fillId="4" borderId="5" xfId="1" applyBorder="1"/>
    <xf numFmtId="0" fontId="3" fillId="4" borderId="6" xfId="1" applyBorder="1" applyAlignment="1">
      <alignment horizontal="center"/>
    </xf>
    <xf numFmtId="0" fontId="3" fillId="4" borderId="6" xfId="1" applyBorder="1"/>
    <xf numFmtId="0" fontId="3" fillId="4" borderId="0" xfId="1" applyBorder="1"/>
    <xf numFmtId="0" fontId="3" fillId="4" borderId="0" xfId="1" applyBorder="1" applyAlignment="1">
      <alignment horizontal="center"/>
    </xf>
    <xf numFmtId="0" fontId="0" fillId="0" borderId="8" xfId="0" applyBorder="1"/>
    <xf numFmtId="0" fontId="0" fillId="0" borderId="9" xfId="0" applyBorder="1" applyAlignment="1">
      <alignment horizontal="center"/>
    </xf>
    <xf numFmtId="0" fontId="0" fillId="0" borderId="9" xfId="0" applyBorder="1"/>
    <xf numFmtId="3" fontId="0" fillId="0" borderId="9" xfId="0" applyNumberFormat="1" applyBorder="1"/>
    <xf numFmtId="3" fontId="3" fillId="4" borderId="0" xfId="1" applyNumberFormat="1" applyBorder="1"/>
    <xf numFmtId="3" fontId="3" fillId="4" borderId="7" xfId="1" applyNumberFormat="1" applyBorder="1"/>
    <xf numFmtId="0" fontId="2" fillId="2" borderId="11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/>
    </xf>
    <xf numFmtId="17" fontId="2" fillId="2" borderId="8" xfId="0" applyNumberFormat="1" applyFont="1" applyFill="1" applyBorder="1" applyAlignment="1">
      <alignment horizontal="center" vertical="center"/>
    </xf>
    <xf numFmtId="17" fontId="2" fillId="2" borderId="11" xfId="0" applyNumberFormat="1" applyFont="1" applyFill="1" applyBorder="1" applyAlignment="1">
      <alignment horizontal="center" vertical="center"/>
    </xf>
    <xf numFmtId="3" fontId="0" fillId="0" borderId="12" xfId="0" applyNumberFormat="1" applyBorder="1"/>
    <xf numFmtId="3" fontId="1" fillId="3" borderId="12" xfId="0" applyNumberFormat="1" applyFont="1" applyFill="1" applyBorder="1"/>
    <xf numFmtId="0" fontId="0" fillId="0" borderId="0" xfId="0" applyAlignment="1">
      <alignment horizontal="center"/>
    </xf>
    <xf numFmtId="3" fontId="0" fillId="0" borderId="0" xfId="0" applyNumberFormat="1"/>
    <xf numFmtId="3" fontId="3" fillId="4" borderId="6" xfId="1" applyNumberFormat="1" applyBorder="1"/>
    <xf numFmtId="3" fontId="0" fillId="0" borderId="4" xfId="0" applyNumberFormat="1" applyBorder="1"/>
    <xf numFmtId="3" fontId="0" fillId="0" borderId="10" xfId="0" applyNumberFormat="1" applyBorder="1"/>
    <xf numFmtId="0" fontId="3" fillId="4" borderId="0" xfId="1" applyAlignment="1">
      <alignment horizontal="center"/>
    </xf>
    <xf numFmtId="3" fontId="3" fillId="4" borderId="0" xfId="1" applyNumberForma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</cellXfs>
  <cellStyles count="2">
    <cellStyle name="Incorrecto" xfId="1" builtinId="27"/>
    <cellStyle name="Normal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BF4AC-0F60-4494-8706-C34B4E768EC9}">
  <dimension ref="A1:U48"/>
  <sheetViews>
    <sheetView tabSelected="1" zoomScale="90" zoomScaleNormal="90" workbookViewId="0">
      <selection activeCell="G7" sqref="G7"/>
    </sheetView>
  </sheetViews>
  <sheetFormatPr baseColWidth="10" defaultRowHeight="15" x14ac:dyDescent="0.25"/>
  <cols>
    <col min="1" max="1" width="9.85546875" customWidth="1"/>
    <col min="2" max="2" width="14.28515625" customWidth="1"/>
    <col min="3" max="3" width="40" customWidth="1"/>
    <col min="4" max="15" width="8.7109375" customWidth="1"/>
    <col min="17" max="17" width="3.28515625" customWidth="1"/>
  </cols>
  <sheetData>
    <row r="1" spans="1:21" ht="15.75" thickBot="1" x14ac:dyDescent="0.3">
      <c r="A1" s="29" t="s">
        <v>37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T1" s="3"/>
      <c r="U1" t="s">
        <v>22</v>
      </c>
    </row>
    <row r="2" spans="1:21" ht="45.75" thickBot="1" x14ac:dyDescent="0.3">
      <c r="A2" s="16" t="s">
        <v>0</v>
      </c>
      <c r="B2" s="16" t="s">
        <v>1</v>
      </c>
      <c r="C2" s="17" t="s">
        <v>2</v>
      </c>
      <c r="D2" s="18" t="s">
        <v>23</v>
      </c>
      <c r="E2" s="18" t="s">
        <v>24</v>
      </c>
      <c r="F2" s="18" t="s">
        <v>25</v>
      </c>
      <c r="G2" s="18" t="s">
        <v>26</v>
      </c>
      <c r="H2" s="18" t="s">
        <v>27</v>
      </c>
      <c r="I2" s="19" t="s">
        <v>28</v>
      </c>
      <c r="J2" s="19" t="s">
        <v>29</v>
      </c>
      <c r="K2" s="19" t="s">
        <v>30</v>
      </c>
      <c r="L2" s="19" t="s">
        <v>31</v>
      </c>
      <c r="M2" s="19" t="s">
        <v>32</v>
      </c>
      <c r="N2" s="19" t="s">
        <v>33</v>
      </c>
      <c r="O2" s="19" t="s">
        <v>34</v>
      </c>
      <c r="P2" s="19" t="s">
        <v>21</v>
      </c>
    </row>
    <row r="3" spans="1:21" x14ac:dyDescent="0.25">
      <c r="A3" s="10" t="s">
        <v>13</v>
      </c>
      <c r="B3" s="11">
        <v>53709</v>
      </c>
      <c r="C3" s="12" t="s">
        <v>14</v>
      </c>
      <c r="D3" s="13">
        <v>500</v>
      </c>
      <c r="E3" s="13">
        <v>4300</v>
      </c>
      <c r="F3" s="13">
        <v>2400</v>
      </c>
      <c r="G3" s="13">
        <v>500</v>
      </c>
      <c r="H3" s="13">
        <v>3300</v>
      </c>
      <c r="I3" s="13">
        <v>2500</v>
      </c>
      <c r="J3" s="13">
        <v>2500</v>
      </c>
      <c r="K3" s="13"/>
      <c r="L3" s="13"/>
      <c r="M3" s="13"/>
      <c r="N3" s="13"/>
      <c r="O3" s="12"/>
      <c r="P3" s="26">
        <f t="shared" ref="P3:P11" si="0">SUM(D3:O3)</f>
        <v>16000</v>
      </c>
    </row>
    <row r="4" spans="1:21" x14ac:dyDescent="0.25">
      <c r="A4" s="1" t="s">
        <v>15</v>
      </c>
      <c r="B4" s="22">
        <v>18632</v>
      </c>
      <c r="C4" t="s">
        <v>16</v>
      </c>
      <c r="D4" s="23">
        <v>700</v>
      </c>
      <c r="E4" s="23">
        <v>2800</v>
      </c>
      <c r="F4" s="23">
        <v>1300</v>
      </c>
      <c r="G4" s="23">
        <v>1100</v>
      </c>
      <c r="H4" s="23">
        <v>2000</v>
      </c>
      <c r="I4" s="23">
        <v>2200</v>
      </c>
      <c r="J4" s="23">
        <v>1500</v>
      </c>
      <c r="K4" s="23"/>
      <c r="L4" s="23"/>
      <c r="M4" s="23"/>
      <c r="N4" s="23"/>
      <c r="P4" s="25">
        <f t="shared" si="0"/>
        <v>11600</v>
      </c>
    </row>
    <row r="5" spans="1:21" x14ac:dyDescent="0.25">
      <c r="A5" s="1" t="s">
        <v>9</v>
      </c>
      <c r="B5" s="22">
        <v>54736</v>
      </c>
      <c r="C5" t="s">
        <v>10</v>
      </c>
      <c r="D5" s="23"/>
      <c r="E5" s="23">
        <v>1400</v>
      </c>
      <c r="F5" s="23">
        <v>800</v>
      </c>
      <c r="G5" s="23">
        <v>300</v>
      </c>
      <c r="H5" s="23">
        <v>700</v>
      </c>
      <c r="I5" s="23">
        <v>900</v>
      </c>
      <c r="J5" s="23">
        <v>600</v>
      </c>
      <c r="K5" s="23"/>
      <c r="L5" s="23"/>
      <c r="M5" s="23"/>
      <c r="N5" s="23"/>
      <c r="P5" s="25">
        <f t="shared" si="0"/>
        <v>4700</v>
      </c>
    </row>
    <row r="6" spans="1:21" x14ac:dyDescent="0.25">
      <c r="A6" s="2" t="s">
        <v>3</v>
      </c>
      <c r="B6" s="9">
        <v>53712</v>
      </c>
      <c r="C6" s="8" t="s">
        <v>4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14"/>
      <c r="P6" s="4">
        <f t="shared" si="0"/>
        <v>0</v>
      </c>
    </row>
    <row r="7" spans="1:21" x14ac:dyDescent="0.25">
      <c r="A7" s="2" t="s">
        <v>5</v>
      </c>
      <c r="B7" s="9">
        <v>53710</v>
      </c>
      <c r="C7" s="8" t="s">
        <v>6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4">
        <f t="shared" si="0"/>
        <v>0</v>
      </c>
    </row>
    <row r="8" spans="1:21" x14ac:dyDescent="0.25">
      <c r="A8" s="2" t="s">
        <v>7</v>
      </c>
      <c r="B8" s="9">
        <v>53713</v>
      </c>
      <c r="C8" s="8" t="s">
        <v>8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4">
        <f t="shared" si="0"/>
        <v>0</v>
      </c>
    </row>
    <row r="9" spans="1:21" x14ac:dyDescent="0.25">
      <c r="A9" s="2" t="s">
        <v>11</v>
      </c>
      <c r="B9" s="27">
        <v>53711</v>
      </c>
      <c r="C9" s="3" t="s">
        <v>12</v>
      </c>
      <c r="D9" s="3"/>
      <c r="E9" s="28"/>
      <c r="F9" s="28"/>
      <c r="G9" s="28"/>
      <c r="H9" s="28"/>
      <c r="I9" s="28"/>
      <c r="J9" s="28"/>
      <c r="K9" s="28"/>
      <c r="L9" s="28"/>
      <c r="M9" s="28"/>
      <c r="N9" s="28"/>
      <c r="O9" s="3"/>
      <c r="P9" s="4">
        <f t="shared" si="0"/>
        <v>0</v>
      </c>
    </row>
    <row r="10" spans="1:21" x14ac:dyDescent="0.25">
      <c r="A10" s="2" t="s">
        <v>17</v>
      </c>
      <c r="B10" s="9">
        <v>53714</v>
      </c>
      <c r="C10" s="8" t="s">
        <v>18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14"/>
      <c r="P10" s="4">
        <f t="shared" si="0"/>
        <v>0</v>
      </c>
    </row>
    <row r="11" spans="1:21" ht="15.75" thickBot="1" x14ac:dyDescent="0.3">
      <c r="A11" s="5" t="s">
        <v>19</v>
      </c>
      <c r="B11" s="6">
        <v>53715</v>
      </c>
      <c r="C11" s="7" t="s">
        <v>20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24"/>
      <c r="P11" s="15">
        <f t="shared" si="0"/>
        <v>0</v>
      </c>
    </row>
    <row r="12" spans="1:21" x14ac:dyDescent="0.25">
      <c r="D12" s="20">
        <f t="shared" ref="D12:P12" si="1">SUM(D3:D11)</f>
        <v>1200</v>
      </c>
      <c r="E12" s="20">
        <f t="shared" si="1"/>
        <v>8500</v>
      </c>
      <c r="F12" s="20">
        <f t="shared" si="1"/>
        <v>4500</v>
      </c>
      <c r="G12" s="20">
        <f t="shared" si="1"/>
        <v>1900</v>
      </c>
      <c r="H12" s="20">
        <f t="shared" si="1"/>
        <v>6000</v>
      </c>
      <c r="I12" s="20">
        <f t="shared" si="1"/>
        <v>5600</v>
      </c>
      <c r="J12" s="20">
        <f t="shared" si="1"/>
        <v>4600</v>
      </c>
      <c r="K12" s="20">
        <f t="shared" si="1"/>
        <v>0</v>
      </c>
      <c r="L12" s="20">
        <f t="shared" si="1"/>
        <v>0</v>
      </c>
      <c r="M12" s="20">
        <f t="shared" si="1"/>
        <v>0</v>
      </c>
      <c r="N12" s="20">
        <f t="shared" si="1"/>
        <v>0</v>
      </c>
      <c r="O12" s="20">
        <f t="shared" si="1"/>
        <v>0</v>
      </c>
      <c r="P12" s="21">
        <f t="shared" si="1"/>
        <v>32300</v>
      </c>
    </row>
    <row r="14" spans="1:21" x14ac:dyDescent="0.25"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</row>
    <row r="15" spans="1:21" x14ac:dyDescent="0.25"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</row>
    <row r="16" spans="1:21" x14ac:dyDescent="0.25"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</row>
    <row r="18" spans="1:16" ht="15.75" thickBot="1" x14ac:dyDescent="0.3"/>
    <row r="19" spans="1:16" ht="15.75" thickBot="1" x14ac:dyDescent="0.3">
      <c r="A19" s="29" t="s">
        <v>35</v>
      </c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</row>
    <row r="20" spans="1:16" ht="45.75" thickBot="1" x14ac:dyDescent="0.3">
      <c r="A20" s="16" t="s">
        <v>0</v>
      </c>
      <c r="B20" s="16" t="s">
        <v>1</v>
      </c>
      <c r="C20" s="17" t="s">
        <v>2</v>
      </c>
      <c r="D20" s="18" t="s">
        <v>23</v>
      </c>
      <c r="E20" s="18" t="s">
        <v>24</v>
      </c>
      <c r="F20" s="18" t="s">
        <v>25</v>
      </c>
      <c r="G20" s="18" t="s">
        <v>26</v>
      </c>
      <c r="H20" s="18" t="s">
        <v>27</v>
      </c>
      <c r="I20" s="19" t="s">
        <v>28</v>
      </c>
      <c r="J20" s="19" t="s">
        <v>29</v>
      </c>
      <c r="K20" s="19" t="s">
        <v>30</v>
      </c>
      <c r="L20" s="19" t="s">
        <v>31</v>
      </c>
      <c r="M20" s="19" t="s">
        <v>32</v>
      </c>
      <c r="N20" s="19" t="s">
        <v>33</v>
      </c>
      <c r="O20" s="19" t="s">
        <v>34</v>
      </c>
      <c r="P20" s="19" t="s">
        <v>21</v>
      </c>
    </row>
    <row r="21" spans="1:16" x14ac:dyDescent="0.25">
      <c r="A21" s="10" t="s">
        <v>13</v>
      </c>
      <c r="B21" s="11">
        <v>53709</v>
      </c>
      <c r="C21" s="12" t="s">
        <v>14</v>
      </c>
      <c r="D21" s="13">
        <v>4400</v>
      </c>
      <c r="E21" s="13">
        <v>3100</v>
      </c>
      <c r="F21" s="13">
        <v>3100</v>
      </c>
      <c r="G21" s="13">
        <v>2500</v>
      </c>
      <c r="H21" s="13">
        <v>4200</v>
      </c>
      <c r="I21" s="13">
        <v>2900</v>
      </c>
      <c r="J21" s="13">
        <v>2400</v>
      </c>
      <c r="K21" s="13">
        <v>2000</v>
      </c>
      <c r="L21" s="13">
        <v>5200</v>
      </c>
      <c r="M21" s="13">
        <v>4300</v>
      </c>
      <c r="N21" s="13">
        <v>700</v>
      </c>
      <c r="O21" s="12">
        <v>3300</v>
      </c>
      <c r="P21" s="26">
        <f t="shared" ref="P21:P29" si="2">SUM(D21:O21)</f>
        <v>38100</v>
      </c>
    </row>
    <row r="22" spans="1:16" x14ac:dyDescent="0.25">
      <c r="A22" s="1" t="s">
        <v>15</v>
      </c>
      <c r="B22" s="22">
        <v>18632</v>
      </c>
      <c r="C22" t="s">
        <v>16</v>
      </c>
      <c r="D22" s="23">
        <v>2000</v>
      </c>
      <c r="E22" s="23">
        <v>2500</v>
      </c>
      <c r="F22" s="23">
        <v>1300</v>
      </c>
      <c r="G22" s="23">
        <v>1400</v>
      </c>
      <c r="H22" s="23">
        <v>1700</v>
      </c>
      <c r="I22" s="23">
        <v>1400</v>
      </c>
      <c r="J22" s="23">
        <v>1400</v>
      </c>
      <c r="K22" s="23">
        <v>1200</v>
      </c>
      <c r="L22" s="23">
        <v>2600</v>
      </c>
      <c r="M22" s="23">
        <v>3300</v>
      </c>
      <c r="N22" s="23">
        <v>1100</v>
      </c>
      <c r="O22" s="23">
        <v>2300</v>
      </c>
      <c r="P22" s="25">
        <f t="shared" si="2"/>
        <v>22200</v>
      </c>
    </row>
    <row r="23" spans="1:16" x14ac:dyDescent="0.25">
      <c r="A23" s="1" t="s">
        <v>9</v>
      </c>
      <c r="B23" s="22">
        <v>54736</v>
      </c>
      <c r="C23" t="s">
        <v>10</v>
      </c>
      <c r="D23" s="23">
        <v>1500</v>
      </c>
      <c r="E23" s="23">
        <v>2100</v>
      </c>
      <c r="F23" s="23">
        <v>900</v>
      </c>
      <c r="G23" s="23">
        <v>2100</v>
      </c>
      <c r="H23" s="23">
        <v>900</v>
      </c>
      <c r="I23" s="23">
        <v>1200</v>
      </c>
      <c r="J23" s="23">
        <v>700</v>
      </c>
      <c r="K23" s="23">
        <v>1000</v>
      </c>
      <c r="L23" s="23">
        <v>1400</v>
      </c>
      <c r="M23" s="23">
        <v>800</v>
      </c>
      <c r="N23" s="23">
        <v>300</v>
      </c>
      <c r="O23" s="23">
        <v>1500</v>
      </c>
      <c r="P23" s="25">
        <f t="shared" si="2"/>
        <v>14400</v>
      </c>
    </row>
    <row r="24" spans="1:16" x14ac:dyDescent="0.25">
      <c r="A24" s="2" t="s">
        <v>5</v>
      </c>
      <c r="B24" s="9">
        <v>53710</v>
      </c>
      <c r="C24" s="8" t="s">
        <v>6</v>
      </c>
      <c r="D24" s="14">
        <v>3000</v>
      </c>
      <c r="E24" s="14">
        <v>2600</v>
      </c>
      <c r="F24" s="14">
        <v>2200</v>
      </c>
      <c r="G24" s="14">
        <v>1300</v>
      </c>
      <c r="H24" s="14"/>
      <c r="I24" s="14"/>
      <c r="J24" s="14"/>
      <c r="K24" s="14"/>
      <c r="L24" s="14"/>
      <c r="M24" s="14"/>
      <c r="N24" s="14"/>
      <c r="O24" s="14"/>
      <c r="P24" s="4">
        <f t="shared" si="2"/>
        <v>9100</v>
      </c>
    </row>
    <row r="25" spans="1:16" x14ac:dyDescent="0.25">
      <c r="A25" s="2" t="s">
        <v>7</v>
      </c>
      <c r="B25" s="9">
        <v>53713</v>
      </c>
      <c r="C25" s="8" t="s">
        <v>8</v>
      </c>
      <c r="D25" s="14">
        <v>2800</v>
      </c>
      <c r="E25" s="14">
        <v>2300</v>
      </c>
      <c r="F25" s="14">
        <v>1500</v>
      </c>
      <c r="G25" s="14">
        <v>1100</v>
      </c>
      <c r="H25" s="14"/>
      <c r="I25" s="14"/>
      <c r="J25" s="14"/>
      <c r="K25" s="14"/>
      <c r="L25" s="14"/>
      <c r="M25" s="14"/>
      <c r="N25" s="14"/>
      <c r="O25" s="14"/>
      <c r="P25" s="4">
        <f t="shared" si="2"/>
        <v>7700</v>
      </c>
    </row>
    <row r="26" spans="1:16" x14ac:dyDescent="0.25">
      <c r="A26" s="1" t="s">
        <v>11</v>
      </c>
      <c r="B26" s="22">
        <v>53711</v>
      </c>
      <c r="C26" t="s">
        <v>12</v>
      </c>
      <c r="D26">
        <v>700</v>
      </c>
      <c r="E26" s="23">
        <v>1100</v>
      </c>
      <c r="F26" s="23">
        <v>500</v>
      </c>
      <c r="G26" s="23">
        <v>400</v>
      </c>
      <c r="H26" s="23">
        <v>200</v>
      </c>
      <c r="I26" s="23">
        <v>500</v>
      </c>
      <c r="J26" s="23"/>
      <c r="K26" s="23">
        <v>100</v>
      </c>
      <c r="L26" s="23">
        <v>400</v>
      </c>
      <c r="M26" s="23">
        <v>100</v>
      </c>
      <c r="N26" s="23">
        <v>200</v>
      </c>
      <c r="O26" s="23">
        <v>300</v>
      </c>
      <c r="P26" s="25">
        <f t="shared" si="2"/>
        <v>4500</v>
      </c>
    </row>
    <row r="27" spans="1:16" x14ac:dyDescent="0.25">
      <c r="A27" s="2" t="s">
        <v>3</v>
      </c>
      <c r="B27" s="9">
        <v>53712</v>
      </c>
      <c r="C27" s="8" t="s">
        <v>4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14"/>
      <c r="P27" s="4">
        <f t="shared" si="2"/>
        <v>0</v>
      </c>
    </row>
    <row r="28" spans="1:16" x14ac:dyDescent="0.25">
      <c r="A28" s="2" t="s">
        <v>17</v>
      </c>
      <c r="B28" s="9">
        <v>53714</v>
      </c>
      <c r="C28" s="8" t="s">
        <v>18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14"/>
      <c r="P28" s="4">
        <f t="shared" si="2"/>
        <v>0</v>
      </c>
    </row>
    <row r="29" spans="1:16" ht="15.75" thickBot="1" x14ac:dyDescent="0.3">
      <c r="A29" s="5" t="s">
        <v>19</v>
      </c>
      <c r="B29" s="6">
        <v>53715</v>
      </c>
      <c r="C29" s="7" t="s">
        <v>20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24"/>
      <c r="P29" s="15">
        <f t="shared" si="2"/>
        <v>0</v>
      </c>
    </row>
    <row r="30" spans="1:16" x14ac:dyDescent="0.25">
      <c r="D30" s="20">
        <f t="shared" ref="D30:P30" si="3">SUM(D21:D29)</f>
        <v>14400</v>
      </c>
      <c r="E30" s="20">
        <f t="shared" si="3"/>
        <v>13700</v>
      </c>
      <c r="F30" s="20">
        <f t="shared" si="3"/>
        <v>9500</v>
      </c>
      <c r="G30" s="20">
        <f t="shared" si="3"/>
        <v>8800</v>
      </c>
      <c r="H30" s="20">
        <f t="shared" si="3"/>
        <v>7000</v>
      </c>
      <c r="I30" s="20">
        <f t="shared" si="3"/>
        <v>6000</v>
      </c>
      <c r="J30" s="20">
        <f t="shared" si="3"/>
        <v>4500</v>
      </c>
      <c r="K30" s="20">
        <f t="shared" si="3"/>
        <v>4300</v>
      </c>
      <c r="L30" s="20">
        <f t="shared" si="3"/>
        <v>9600</v>
      </c>
      <c r="M30" s="20">
        <f t="shared" si="3"/>
        <v>8500</v>
      </c>
      <c r="N30" s="20">
        <f t="shared" si="3"/>
        <v>2300</v>
      </c>
      <c r="O30" s="20">
        <f t="shared" si="3"/>
        <v>7400</v>
      </c>
      <c r="P30" s="21">
        <f t="shared" si="3"/>
        <v>96000</v>
      </c>
    </row>
    <row r="36" spans="1:16" ht="15.75" thickBot="1" x14ac:dyDescent="0.3"/>
    <row r="37" spans="1:16" ht="15.75" thickBot="1" x14ac:dyDescent="0.3">
      <c r="A37" s="29" t="s">
        <v>36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</row>
    <row r="38" spans="1:16" ht="45.75" thickBot="1" x14ac:dyDescent="0.3">
      <c r="A38" s="16" t="s">
        <v>0</v>
      </c>
      <c r="B38" s="16" t="s">
        <v>1</v>
      </c>
      <c r="C38" s="17" t="s">
        <v>2</v>
      </c>
      <c r="D38" s="18" t="s">
        <v>23</v>
      </c>
      <c r="E38" s="18" t="s">
        <v>24</v>
      </c>
      <c r="F38" s="18" t="s">
        <v>25</v>
      </c>
      <c r="G38" s="18" t="s">
        <v>26</v>
      </c>
      <c r="H38" s="18" t="s">
        <v>27</v>
      </c>
      <c r="I38" s="19" t="s">
        <v>28</v>
      </c>
      <c r="J38" s="19" t="s">
        <v>29</v>
      </c>
      <c r="K38" s="19" t="s">
        <v>30</v>
      </c>
      <c r="L38" s="19" t="s">
        <v>31</v>
      </c>
      <c r="M38" s="19" t="s">
        <v>32</v>
      </c>
      <c r="N38" s="19" t="s">
        <v>33</v>
      </c>
      <c r="O38" s="19" t="s">
        <v>34</v>
      </c>
      <c r="P38" s="19" t="s">
        <v>21</v>
      </c>
    </row>
    <row r="39" spans="1:16" x14ac:dyDescent="0.25">
      <c r="A39" s="10" t="s">
        <v>13</v>
      </c>
      <c r="B39" s="11">
        <v>53709</v>
      </c>
      <c r="C39" s="12" t="s">
        <v>14</v>
      </c>
      <c r="D39" s="13">
        <v>5300</v>
      </c>
      <c r="E39" s="13">
        <v>4000</v>
      </c>
      <c r="F39" s="13">
        <v>3900</v>
      </c>
      <c r="G39" s="13">
        <v>5000</v>
      </c>
      <c r="H39" s="13">
        <v>3000</v>
      </c>
      <c r="I39" s="13">
        <v>5000</v>
      </c>
      <c r="J39" s="13">
        <v>1900</v>
      </c>
      <c r="K39" s="13">
        <v>4900</v>
      </c>
      <c r="L39" s="13">
        <v>2700</v>
      </c>
      <c r="M39" s="13">
        <v>2100</v>
      </c>
      <c r="N39" s="13">
        <v>4000</v>
      </c>
      <c r="O39" s="12">
        <v>4200</v>
      </c>
      <c r="P39" s="26">
        <f t="shared" ref="P39:P47" si="4">SUM(D39:O39)</f>
        <v>46000</v>
      </c>
    </row>
    <row r="40" spans="1:16" x14ac:dyDescent="0.25">
      <c r="A40" s="2" t="s">
        <v>5</v>
      </c>
      <c r="B40" s="9">
        <v>53710</v>
      </c>
      <c r="C40" s="8" t="s">
        <v>6</v>
      </c>
      <c r="D40" s="14">
        <v>4500</v>
      </c>
      <c r="E40" s="14">
        <v>3000</v>
      </c>
      <c r="F40" s="14">
        <v>3200</v>
      </c>
      <c r="G40" s="14">
        <v>3800</v>
      </c>
      <c r="H40" s="14">
        <v>2300</v>
      </c>
      <c r="I40" s="14">
        <v>2600</v>
      </c>
      <c r="J40" s="14">
        <v>1600</v>
      </c>
      <c r="K40" s="14">
        <v>4300</v>
      </c>
      <c r="L40" s="14">
        <v>2400</v>
      </c>
      <c r="M40" s="14">
        <v>1900</v>
      </c>
      <c r="N40" s="14">
        <v>3800</v>
      </c>
      <c r="O40" s="14">
        <v>3000</v>
      </c>
      <c r="P40" s="4">
        <f t="shared" si="4"/>
        <v>36400</v>
      </c>
    </row>
    <row r="41" spans="1:16" x14ac:dyDescent="0.25">
      <c r="A41" s="2" t="s">
        <v>7</v>
      </c>
      <c r="B41" s="9">
        <v>53713</v>
      </c>
      <c r="C41" s="8" t="s">
        <v>8</v>
      </c>
      <c r="D41" s="14">
        <v>4300</v>
      </c>
      <c r="E41" s="14">
        <v>2200</v>
      </c>
      <c r="F41" s="14">
        <v>3000</v>
      </c>
      <c r="G41" s="14">
        <v>3400</v>
      </c>
      <c r="H41" s="14">
        <v>2400</v>
      </c>
      <c r="I41" s="14">
        <v>3200</v>
      </c>
      <c r="J41" s="14">
        <v>1400</v>
      </c>
      <c r="K41" s="14">
        <v>3200</v>
      </c>
      <c r="L41" s="14">
        <v>2100</v>
      </c>
      <c r="M41" s="14">
        <v>1600</v>
      </c>
      <c r="N41" s="14">
        <v>3100</v>
      </c>
      <c r="O41" s="14">
        <v>2600</v>
      </c>
      <c r="P41" s="4">
        <f t="shared" si="4"/>
        <v>32500</v>
      </c>
    </row>
    <row r="42" spans="1:16" x14ac:dyDescent="0.25">
      <c r="A42" s="1" t="s">
        <v>15</v>
      </c>
      <c r="B42" s="22">
        <v>18632</v>
      </c>
      <c r="C42" t="s">
        <v>16</v>
      </c>
      <c r="D42" s="23">
        <v>3400</v>
      </c>
      <c r="E42" s="23">
        <v>2400</v>
      </c>
      <c r="F42" s="23">
        <v>2600</v>
      </c>
      <c r="G42" s="23">
        <v>2500</v>
      </c>
      <c r="H42" s="23">
        <v>2300</v>
      </c>
      <c r="I42" s="23">
        <v>2900</v>
      </c>
      <c r="J42" s="23">
        <v>1200</v>
      </c>
      <c r="K42" s="23">
        <v>3100</v>
      </c>
      <c r="L42" s="23">
        <v>1900</v>
      </c>
      <c r="M42" s="23">
        <v>600</v>
      </c>
      <c r="N42" s="23">
        <v>2800</v>
      </c>
      <c r="O42">
        <v>2900</v>
      </c>
      <c r="P42" s="25">
        <f t="shared" si="4"/>
        <v>28600</v>
      </c>
    </row>
    <row r="43" spans="1:16" x14ac:dyDescent="0.25">
      <c r="A43" s="1" t="s">
        <v>9</v>
      </c>
      <c r="B43" s="22">
        <v>54736</v>
      </c>
      <c r="C43" t="s">
        <v>10</v>
      </c>
      <c r="D43" s="23">
        <v>3400</v>
      </c>
      <c r="E43" s="23">
        <v>2100</v>
      </c>
      <c r="F43" s="23">
        <v>2800</v>
      </c>
      <c r="G43" s="23">
        <v>2900</v>
      </c>
      <c r="H43" s="23">
        <v>1800</v>
      </c>
      <c r="I43" s="23">
        <v>1200</v>
      </c>
      <c r="J43" s="23">
        <v>1300</v>
      </c>
      <c r="K43" s="23">
        <v>2800</v>
      </c>
      <c r="L43" s="23">
        <v>1500</v>
      </c>
      <c r="M43" s="23">
        <v>1200</v>
      </c>
      <c r="N43" s="23">
        <v>1900</v>
      </c>
      <c r="O43">
        <v>2000</v>
      </c>
      <c r="P43" s="25">
        <f t="shared" si="4"/>
        <v>24900</v>
      </c>
    </row>
    <row r="44" spans="1:16" x14ac:dyDescent="0.25">
      <c r="A44" s="1" t="s">
        <v>11</v>
      </c>
      <c r="B44" s="22">
        <v>53711</v>
      </c>
      <c r="C44" t="s">
        <v>12</v>
      </c>
      <c r="D44">
        <v>1700</v>
      </c>
      <c r="E44" s="23">
        <v>1700</v>
      </c>
      <c r="F44" s="23">
        <v>1600</v>
      </c>
      <c r="G44" s="23">
        <v>1800</v>
      </c>
      <c r="H44" s="23">
        <v>1200</v>
      </c>
      <c r="I44" s="23"/>
      <c r="J44" s="23">
        <v>700</v>
      </c>
      <c r="K44" s="23">
        <v>1300</v>
      </c>
      <c r="L44" s="23">
        <v>900</v>
      </c>
      <c r="M44" s="23">
        <v>700</v>
      </c>
      <c r="N44" s="23">
        <v>600</v>
      </c>
      <c r="O44">
        <v>1000</v>
      </c>
      <c r="P44" s="25">
        <f t="shared" si="4"/>
        <v>13200</v>
      </c>
    </row>
    <row r="45" spans="1:16" x14ac:dyDescent="0.25">
      <c r="A45" s="2" t="s">
        <v>19</v>
      </c>
      <c r="B45" s="9">
        <v>53715</v>
      </c>
      <c r="C45" s="8" t="s">
        <v>20</v>
      </c>
      <c r="D45" s="8">
        <v>1600</v>
      </c>
      <c r="E45" s="8">
        <v>1700</v>
      </c>
      <c r="F45" s="8">
        <v>1600</v>
      </c>
      <c r="G45" s="8">
        <v>1400</v>
      </c>
      <c r="H45" s="8">
        <v>500</v>
      </c>
      <c r="I45" s="8"/>
      <c r="J45" s="8"/>
      <c r="K45" s="8"/>
      <c r="L45" s="8"/>
      <c r="M45" s="8"/>
      <c r="N45" s="8"/>
      <c r="O45" s="14"/>
      <c r="P45" s="4">
        <f t="shared" si="4"/>
        <v>6800</v>
      </c>
    </row>
    <row r="46" spans="1:16" x14ac:dyDescent="0.25">
      <c r="A46" s="2" t="s">
        <v>3</v>
      </c>
      <c r="B46" s="9">
        <v>53712</v>
      </c>
      <c r="C46" s="8" t="s">
        <v>4</v>
      </c>
      <c r="D46" s="8">
        <v>1600</v>
      </c>
      <c r="E46" s="8">
        <v>1700</v>
      </c>
      <c r="F46" s="8">
        <v>1300</v>
      </c>
      <c r="G46" s="8">
        <v>1700</v>
      </c>
      <c r="H46" s="8">
        <v>300</v>
      </c>
      <c r="I46" s="8"/>
      <c r="J46" s="8"/>
      <c r="K46" s="8"/>
      <c r="L46" s="8"/>
      <c r="M46" s="8"/>
      <c r="N46" s="8"/>
      <c r="O46" s="14"/>
      <c r="P46" s="4">
        <f t="shared" si="4"/>
        <v>6600</v>
      </c>
    </row>
    <row r="47" spans="1:16" ht="15.75" thickBot="1" x14ac:dyDescent="0.3">
      <c r="A47" s="5" t="s">
        <v>17</v>
      </c>
      <c r="B47" s="6">
        <v>53714</v>
      </c>
      <c r="C47" s="7" t="s">
        <v>18</v>
      </c>
      <c r="D47" s="7">
        <v>1100</v>
      </c>
      <c r="E47" s="7">
        <v>1000</v>
      </c>
      <c r="F47" s="7">
        <v>1300</v>
      </c>
      <c r="G47" s="7">
        <v>500</v>
      </c>
      <c r="H47" s="7">
        <v>600</v>
      </c>
      <c r="I47" s="7"/>
      <c r="J47" s="7"/>
      <c r="K47" s="7"/>
      <c r="L47" s="7"/>
      <c r="M47" s="7"/>
      <c r="N47" s="7"/>
      <c r="O47" s="24"/>
      <c r="P47" s="15">
        <f t="shared" si="4"/>
        <v>4500</v>
      </c>
    </row>
    <row r="48" spans="1:16" x14ac:dyDescent="0.25">
      <c r="D48" s="20">
        <f t="shared" ref="D48:P48" si="5">SUM(D39:D47)</f>
        <v>26900</v>
      </c>
      <c r="E48" s="20">
        <f t="shared" si="5"/>
        <v>19800</v>
      </c>
      <c r="F48" s="20">
        <f t="shared" si="5"/>
        <v>21300</v>
      </c>
      <c r="G48" s="20">
        <f t="shared" si="5"/>
        <v>23000</v>
      </c>
      <c r="H48" s="20">
        <f t="shared" si="5"/>
        <v>14400</v>
      </c>
      <c r="I48" s="20">
        <f t="shared" si="5"/>
        <v>14900</v>
      </c>
      <c r="J48" s="20">
        <f t="shared" si="5"/>
        <v>8100</v>
      </c>
      <c r="K48" s="20">
        <f t="shared" si="5"/>
        <v>19600</v>
      </c>
      <c r="L48" s="20">
        <f t="shared" si="5"/>
        <v>11500</v>
      </c>
      <c r="M48" s="20">
        <f t="shared" si="5"/>
        <v>8100</v>
      </c>
      <c r="N48" s="20">
        <f t="shared" si="5"/>
        <v>16200</v>
      </c>
      <c r="O48" s="20">
        <f t="shared" si="5"/>
        <v>15700</v>
      </c>
      <c r="P48" s="21">
        <f t="shared" si="5"/>
        <v>199500</v>
      </c>
    </row>
  </sheetData>
  <autoFilter ref="A2:P2" xr:uid="{A4CBF4AC-0F60-4494-8706-C34B4E768EC9}">
    <sortState xmlns:xlrd2="http://schemas.microsoft.com/office/spreadsheetml/2017/richdata2" ref="A3:P12">
      <sortCondition descending="1" ref="P2"/>
    </sortState>
  </autoFilter>
  <mergeCells count="3">
    <mergeCell ref="A19:P19"/>
    <mergeCell ref="A37:P37"/>
    <mergeCell ref="A1:P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KROON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Mario González</cp:lastModifiedBy>
  <dcterms:created xsi:type="dcterms:W3CDTF">2024-10-23T16:55:13Z</dcterms:created>
  <dcterms:modified xsi:type="dcterms:W3CDTF">2026-08-07T22:53:32Z</dcterms:modified>
</cp:coreProperties>
</file>